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Bought separatel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<sst xmlns="http://schemas.openxmlformats.org/spreadsheetml/2006/main" count="363" uniqueCount="196">
  <si>
    <t xml:space="preserve">ESP32-S3 Plant Monitor  —  Rev A  —  Bill of Materials</t>
  </si>
  <si>
    <t xml:space="preserve">Project RS_ESP32S3_PlantMonitor_RevA   ·   JLCPCB C-numbers are the definitive part IDs (search jlcpcb.com/parts)   ·   'at upload' = pick a Basic-library catalog number when uploading the BOM   ·   'Verify' = confirm Basic vs Extended at order time</t>
  </si>
  <si>
    <t xml:space="preserve">#</t>
  </si>
  <si>
    <t xml:space="preserve">Category</t>
  </si>
  <si>
    <t xml:space="preserve">Designator(s)</t>
  </si>
  <si>
    <t xml:space="preserve">Qty</t>
  </si>
  <si>
    <t xml:space="preserve">Value / Rating</t>
  </si>
  <si>
    <t xml:space="preserve">Part / MPN</t>
  </si>
  <si>
    <t xml:space="preserve">JLCPCB #</t>
  </si>
  <si>
    <t xml:space="preserve">Package</t>
  </si>
  <si>
    <t xml:space="preserve">Library</t>
  </si>
  <si>
    <t xml:space="preserve">Populate</t>
  </si>
  <si>
    <t xml:space="preserve">Function / Notes</t>
  </si>
  <si>
    <t xml:space="preserve">Modules &amp; ICs</t>
  </si>
  <si>
    <t xml:space="preserve">U1</t>
  </si>
  <si>
    <t xml:space="preserve">3.3 V, 8 MB flash</t>
  </si>
  <si>
    <t xml:space="preserve">ESP32-S3-WROOM-1-N8</t>
  </si>
  <si>
    <t xml:space="preserve">C2913198</t>
  </si>
  <si>
    <t xml:space="preserve">Module (SMD)</t>
  </si>
  <si>
    <t xml:space="preserve">Extended</t>
  </si>
  <si>
    <t xml:space="preserve">Yes</t>
  </si>
  <si>
    <t xml:space="preserve">The brain: dual-core MCU, Wi-Fi/BT, antenna, shielding, pre-certified.</t>
  </si>
  <si>
    <t xml:space="preserve">U2</t>
  </si>
  <si>
    <t xml:space="preserve">USB ESD array</t>
  </si>
  <si>
    <t xml:space="preserve">USBLC6-2SC6 (ST)</t>
  </si>
  <si>
    <t xml:space="preserve">C7519</t>
  </si>
  <si>
    <t xml:space="preserve">SOT-23-6</t>
  </si>
  <si>
    <t xml:space="preserve">Clamps static zaps on USB D+/D-; very low capacitance so it doesn't distort data.</t>
  </si>
  <si>
    <t xml:space="preserve">U3</t>
  </si>
  <si>
    <t xml:space="preserve">3.3 V, 600 mA</t>
  </si>
  <si>
    <t xml:space="preserve">AP2112K-3.3TRG1</t>
  </si>
  <si>
    <t xml:space="preserve">C51118</t>
  </si>
  <si>
    <t xml:space="preserve">SOT-23-5</t>
  </si>
  <si>
    <t xml:space="preserve">LDO regulator: makes the +3V3 rail from VSYS. EN tied to VIN (always on).</t>
  </si>
  <si>
    <t xml:space="preserve">U4</t>
  </si>
  <si>
    <t xml:space="preserve">4.20 V, ~100 mA</t>
  </si>
  <si>
    <t xml:space="preserve">MCP73831T-2ACI/OT</t>
  </si>
  <si>
    <t xml:space="preserve">C424093</t>
  </si>
  <si>
    <t xml:space="preserve">1-cell LiPo linear charger. Charge current set by R11 on PROG.</t>
  </si>
  <si>
    <t xml:space="preserve">U5</t>
  </si>
  <si>
    <t xml:space="preserve">I2C 0x76</t>
  </si>
  <si>
    <t xml:space="preserve">BME280 (Bosch)</t>
  </si>
  <si>
    <t xml:space="preserve">C92489</t>
  </si>
  <si>
    <t xml:space="preserve">LGA-8</t>
  </si>
  <si>
    <t xml:space="preserve">Temperature / humidity / pressure. Keep lid vent hole clear; place away from heat.</t>
  </si>
  <si>
    <t xml:space="preserve">U6</t>
  </si>
  <si>
    <t xml:space="preserve">I2C 0x10</t>
  </si>
  <si>
    <t xml:space="preserve">VEML7700-TT (Vishay)</t>
  </si>
  <si>
    <t xml:space="preserve">C1850416</t>
  </si>
  <si>
    <t xml:space="preserve">OPLGA (top-view)</t>
  </si>
  <si>
    <t xml:space="preserve">Ambient light. Sensing window faces up; keep clear of the board's own LEDs.</t>
  </si>
  <si>
    <t xml:space="preserve">Discrete semis</t>
  </si>
  <si>
    <t xml:space="preserve">Q1, Q2, Q3</t>
  </si>
  <si>
    <t xml:space="preserve">P-ch MOSFET</t>
  </si>
  <si>
    <t xml:space="preserve">AO3401A</t>
  </si>
  <si>
    <t xml:space="preserve">C15127</t>
  </si>
  <si>
    <t xml:space="preserve">SOT-23-3</t>
  </si>
  <si>
    <t xml:space="preserve">Basic</t>
  </si>
  <si>
    <t xml:space="preserve">Q1 reverse-polarity protect, Q2 soil-probe power switch, Q3 USB/battery source select.</t>
  </si>
  <si>
    <t xml:space="preserve">D1</t>
  </si>
  <si>
    <t xml:space="preserve">Green</t>
  </si>
  <si>
    <t xml:space="preserve">LED 0603 (Basic pick)</t>
  </si>
  <si>
    <t xml:space="preserve">at upload</t>
  </si>
  <si>
    <t xml:space="preserve">0603</t>
  </si>
  <si>
    <t xml:space="preserve">Power indicator on +3V3 (R13 = 1 k). Leave OFF the board for battery-life tests.</t>
  </si>
  <si>
    <t xml:space="preserve">D2</t>
  </si>
  <si>
    <t xml:space="preserve">Amber / Red</t>
  </si>
  <si>
    <t xml:space="preserve">Charge indicator driven by charger STAT pin (R12 = 1 k).</t>
  </si>
  <si>
    <t xml:space="preserve">D3</t>
  </si>
  <si>
    <t xml:space="preserve">5 V standoff</t>
  </si>
  <si>
    <t xml:space="preserve">SMF5.0A (Goodwork)</t>
  </si>
  <si>
    <t xml:space="preserve">C2980403</t>
  </si>
  <si>
    <t xml:space="preserve">SOD-123FL</t>
  </si>
  <si>
    <t xml:space="preserve">TVS surge protection across USB 5 V at the connector.</t>
  </si>
  <si>
    <t xml:space="preserve">D4</t>
  </si>
  <si>
    <t xml:space="preserve">1 A / 40 V</t>
  </si>
  <si>
    <t xml:space="preserve">SS14 (MDD)</t>
  </si>
  <si>
    <t xml:space="preserve">C2480</t>
  </si>
  <si>
    <t xml:space="preserve">SMA (DO-214AC)</t>
  </si>
  <si>
    <t xml:space="preserve">Schottky: feeds VSYS from USB 5 V (~0.4 V drop).</t>
  </si>
  <si>
    <t xml:space="preserve">Connectors &amp; mech</t>
  </si>
  <si>
    <t xml:space="preserve">J1</t>
  </si>
  <si>
    <t xml:space="preserve">USB 2.0, 16-pin</t>
  </si>
  <si>
    <t xml:space="preserve">TYPE-C-31-M-12</t>
  </si>
  <si>
    <t xml:space="preserve">C165948</t>
  </si>
  <si>
    <t xml:space="preserve">USB-C recept.</t>
  </si>
  <si>
    <t xml:space="preserve">Power in + native-USB programming. Small special-handling fee at JLC.</t>
  </si>
  <si>
    <t xml:space="preserve">J2</t>
  </si>
  <si>
    <t xml:space="preserve">JST PH 2.0, 3-pin</t>
  </si>
  <si>
    <t xml:space="preserve">S3B-PH-K-S(LF)(SN)</t>
  </si>
  <si>
    <t xml:space="preserve">C157929</t>
  </si>
  <si>
    <t xml:space="preserve">TH side-entry</t>
  </si>
  <si>
    <t xml:space="preserve">Verify</t>
  </si>
  <si>
    <t xml:space="preserve">Soil probe plugs in here (mating housing PHR-3). Buzz out cable before use.</t>
  </si>
  <si>
    <t xml:space="preserve">J3</t>
  </si>
  <si>
    <t xml:space="preserve">JST PH 2.0, 2-pin</t>
  </si>
  <si>
    <t xml:space="preserve">S2B-PH-K-S(LF)(SN)</t>
  </si>
  <si>
    <t xml:space="preserve">C173752</t>
  </si>
  <si>
    <t xml:space="preserve">Battery plugs in here. Meter the plug polarity before first connect.</t>
  </si>
  <si>
    <t xml:space="preserve">F1</t>
  </si>
  <si>
    <t xml:space="preserve">0.75 A hold / 1.5 A trip</t>
  </si>
  <si>
    <t xml:space="preserve">1206L075/16WR</t>
  </si>
  <si>
    <t xml:space="preserve">C371166</t>
  </si>
  <si>
    <t xml:space="preserve">1206</t>
  </si>
  <si>
    <t xml:space="preserve">Resettable PPTC fuse: current ceiling on the USB 5 V input.</t>
  </si>
  <si>
    <t xml:space="preserve">SW1, SW2</t>
  </si>
  <si>
    <t xml:space="preserve">SMD tactile</t>
  </si>
  <si>
    <t xml:space="preserve">Tactile switch (Basic pick)</t>
  </si>
  <si>
    <t xml:space="preserve">SW1 = RESET, SW2 = BOOT.</t>
  </si>
  <si>
    <t xml:space="preserve">Resistors (0603)</t>
  </si>
  <si>
    <t xml:space="preserve">R1, R2</t>
  </si>
  <si>
    <t xml:space="preserve">5.1 k, 1%</t>
  </si>
  <si>
    <t xml:space="preserve">Chip resistor</t>
  </si>
  <si>
    <t xml:space="preserve">USB-C CC pull-downs — one per CC pin; announces the board as a 5 V sink. Never shared.</t>
  </si>
  <si>
    <t xml:space="preserve">R3, R4</t>
  </si>
  <si>
    <t xml:space="preserve">22 R</t>
  </si>
  <si>
    <t xml:space="preserve">USB data series resistors, placed near the module.</t>
  </si>
  <si>
    <t xml:space="preserve">R5, R6, R11</t>
  </si>
  <si>
    <t xml:space="preserve">10 k</t>
  </si>
  <si>
    <t xml:space="preserve">R5 = EN reset pull-up, R6 = GPIO0 boot pull-up, R11 = charger PROG (-&gt; ~100 mA).</t>
  </si>
  <si>
    <t xml:space="preserve">R7, R8</t>
  </si>
  <si>
    <t xml:space="preserve">4.7 k</t>
  </si>
  <si>
    <t xml:space="preserve">I2C bus pull-ups — one pair for the whole bus.</t>
  </si>
  <si>
    <t xml:space="preserve">R9, R10</t>
  </si>
  <si>
    <t xml:space="preserve">10 k, 1%</t>
  </si>
  <si>
    <t xml:space="preserve">Soil-probe 2:1 divider (1% for accuracy). Midpoint -&gt; GPIO1.</t>
  </si>
  <si>
    <t xml:space="preserve">R12, R13</t>
  </si>
  <si>
    <t xml:space="preserve">1 k</t>
  </si>
  <si>
    <t xml:space="preserve">LED current limits (D2 charge, D1 power).</t>
  </si>
  <si>
    <t xml:space="preserve">R14, R15</t>
  </si>
  <si>
    <t xml:space="preserve">100 k</t>
  </si>
  <si>
    <t xml:space="preserve">R14 = Q3 gate pull-down (battery takes over), R15 = Q2 gate pull-up (probe off by default).</t>
  </si>
  <si>
    <t xml:space="preserve">R16, R17</t>
  </si>
  <si>
    <t xml:space="preserve">100 k, 1%</t>
  </si>
  <si>
    <t xml:space="preserve">Battery-sense 2:1 divider (1%). Midpoint -&gt; GPIO2. ~21 uA always-on drain.</t>
  </si>
  <si>
    <t xml:space="preserve">Capacitors</t>
  </si>
  <si>
    <t xml:space="preserve">C1</t>
  </si>
  <si>
    <t xml:space="preserve">10 uF, &gt;=10 V</t>
  </si>
  <si>
    <t xml:space="preserve">MLCC (0805)</t>
  </si>
  <si>
    <t xml:space="preserve">0805</t>
  </si>
  <si>
    <t xml:space="preserve">Power-entrance bulk on +5V_PROT (Espressif recommendation).</t>
  </si>
  <si>
    <t xml:space="preserve">C2, C3</t>
  </si>
  <si>
    <t xml:space="preserve">1 uF</t>
  </si>
  <si>
    <t xml:space="preserve">MLCC</t>
  </si>
  <si>
    <t xml:space="preserve">Regulator input / output stability capacitors (datasheet).</t>
  </si>
  <si>
    <t xml:space="preserve">C4</t>
  </si>
  <si>
    <t xml:space="preserve">22 uF, &gt;=6.3 V</t>
  </si>
  <si>
    <t xml:space="preserve">Bulk at the module's 3V3 pin.</t>
  </si>
  <si>
    <t xml:space="preserve">C5</t>
  </si>
  <si>
    <t xml:space="preserve">100 nF</t>
  </si>
  <si>
    <t xml:space="preserve">Module bypass at the 3V3 pin (paired with C4).</t>
  </si>
  <si>
    <t xml:space="preserve">C6</t>
  </si>
  <si>
    <t xml:space="preserve">EN reset-delay capacitor (with R5 forms the RC power-up delay).</t>
  </si>
  <si>
    <t xml:space="preserve">C9</t>
  </si>
  <si>
    <t xml:space="preserve">U2 (ESD chip) VBUS-pin decoupling.</t>
  </si>
  <si>
    <t xml:space="preserve">C10, C11</t>
  </si>
  <si>
    <t xml:space="preserve">BME280 VDD and VDDIO decoupling.</t>
  </si>
  <si>
    <t xml:space="preserve">C12</t>
  </si>
  <si>
    <t xml:space="preserve">VEML7700 decoupling.</t>
  </si>
  <si>
    <t xml:space="preserve">C13</t>
  </si>
  <si>
    <t xml:space="preserve">ADC filter at the soil input pin (GPIO1).</t>
  </si>
  <si>
    <t xml:space="preserve">C14, C15</t>
  </si>
  <si>
    <t xml:space="preserve">4.7 uF</t>
  </si>
  <si>
    <t xml:space="preserve">Charger input / output capacitors.</t>
  </si>
  <si>
    <t xml:space="preserve">C16</t>
  </si>
  <si>
    <t xml:space="preserve">ADC filter at the battery-sense pin (GPIO2).</t>
  </si>
  <si>
    <t xml:space="preserve">Do Not Populate</t>
  </si>
  <si>
    <t xml:space="preserve">C7, C8</t>
  </si>
  <si>
    <t xml:space="preserve">(footprint only)</t>
  </si>
  <si>
    <t xml:space="preserve">— none placed —</t>
  </si>
  <si>
    <t xml:space="preserve">—</t>
  </si>
  <si>
    <t xml:space="preserve">No (DNP)</t>
  </si>
  <si>
    <t xml:space="preserve">Reserved USB data-line tuning capacitors. Footprint on board, no part soldered.</t>
  </si>
  <si>
    <t xml:space="preserve">Summary</t>
  </si>
  <si>
    <t xml:space="preserve">Distinct part lines (BOM rows)</t>
  </si>
  <si>
    <t xml:space="preserve">Components placed by assembler</t>
  </si>
  <si>
    <t xml:space="preserve">Do-Not-Populate placements</t>
  </si>
  <si>
    <t xml:space="preserve">Total footprints on the board</t>
  </si>
  <si>
    <t xml:space="preserve">Not assembled by JLCPCB — buy and attach yourself</t>
  </si>
  <si>
    <t xml:space="preserve">Item</t>
  </si>
  <si>
    <t xml:space="preserve">Spec</t>
  </si>
  <si>
    <t xml:space="preserve">Plugs into</t>
  </si>
  <si>
    <t xml:space="preserve">Where to buy</t>
  </si>
  <si>
    <t xml:space="preserve">Notes</t>
  </si>
  <si>
    <t xml:space="preserve">DFRobot SEN0193 capacitive soil moisture probe</t>
  </si>
  <si>
    <t xml:space="preserve">Supply 3.3-5.5 V, output 0-3.0 V, ~5 mA</t>
  </si>
  <si>
    <t xml:space="preserve">DigiKey / DFRobot / Amazon</t>
  </si>
  <si>
    <t xml:space="preserve">External wand; never soldered to the board. Not waterproof past its marked line.</t>
  </si>
  <si>
    <t xml:space="preserve">1S protected LiPo battery</t>
  </si>
  <si>
    <t xml:space="preserve">3.7 V nom, ~1000 mAh (500-1200), JST-PH plug</t>
  </si>
  <si>
    <t xml:space="preserve">Battery retailer</t>
  </si>
  <si>
    <t xml:space="preserve">MUST have a built-in protection circuit — the board has no protection chip of its own. Verify plug polarity with a meter first.</t>
  </si>
  <si>
    <t xml:space="preserve">PH-to-PH 3-pin cable (only if needed)</t>
  </si>
  <si>
    <t xml:space="preserve">JST PH 2.0, 3-wire</t>
  </si>
  <si>
    <t xml:space="preserve">~$1, generic</t>
  </si>
  <si>
    <t xml:space="preserve">Only if the probe's included cable ends in a DuPont-style connector instead of a PH plug.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</si>
</sst>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A5A5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A24"/>
      <name val="Arial"/>
      <family val="0"/>
      <charset val="1"/>
    </font>
    <font>
      <b val="true"/>
      <sz val="10"/>
      <color rgb="FF14432E"/>
      <name val="Arial"/>
      <family val="0"/>
      <charset val="1"/>
    </font>
    <font>
      <b val="true"/>
      <sz val="11"/>
      <color rgb="FF14432E"/>
      <name val="Arial"/>
      <family val="0"/>
      <charset val="1"/>
    </font>
    <font>
      <b val="true"/>
      <sz val="10"/>
      <color rgb="FF1F2A24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0231A"/>
        <bgColor rgb="FF1F2A24"/>
      </patternFill>
    </fill>
    <fill>
      <patternFill patternType="solid">
        <fgColor rgb="FF1F7A4D"/>
        <bgColor rgb="FF008080"/>
      </patternFill>
    </fill>
    <fill>
      <patternFill patternType="solid">
        <fgColor rgb="FFD9ECE1"/>
        <bgColor rgb="FFF3E5D0"/>
      </patternFill>
    </fill>
    <fill>
      <patternFill patternType="solid">
        <fgColor rgb="FFF3E5D0"/>
        <bgColor rgb="FFD9EC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BC1"/>
      </left>
      <right style="thin">
        <color rgb="FFB9CBC1"/>
      </right>
      <top style="thin">
        <color rgb="FFB9CBC1"/>
      </top>
      <bottom style="thin">
        <color rgb="FFB9CB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4D"/>
      <rgbColor rgb="FFB9CBC1"/>
      <rgbColor rgb="FF808080"/>
      <rgbColor rgb="FF9999FF"/>
      <rgbColor rgb="FF993366"/>
      <rgbColor rgb="FFF3E5D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C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A52"/>
      <rgbColor rgb="FF969696"/>
      <rgbColor rgb="FF14432E"/>
      <rgbColor rgb="FF339966"/>
      <rgbColor rgb="FF10231A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5"/>
    <col collapsed="false" customWidth="true" hidden="false" outlineLevel="0" max="5" min="5" style="0" width="17"/>
    <col collapsed="false" customWidth="true" hidden="false" outlineLevel="0" max="6" min="6" style="0" width="2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4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27.75" hidden="false" customHeight="true" outlineLevel="0" collapsed="false">
      <c r="A5" s="4" t="n">
        <v>1</v>
      </c>
      <c r="B5" s="5" t="s">
        <v>13</v>
      </c>
      <c r="C5" s="6" t="s">
        <v>14</v>
      </c>
      <c r="D5" s="4" t="n">
        <v>1</v>
      </c>
      <c r="E5" s="6" t="s">
        <v>15</v>
      </c>
      <c r="F5" s="6" t="s">
        <v>16</v>
      </c>
      <c r="G5" s="6" t="s">
        <v>17</v>
      </c>
      <c r="H5" s="6" t="s">
        <v>18</v>
      </c>
      <c r="I5" s="4" t="s">
        <v>19</v>
      </c>
      <c r="J5" s="4" t="s">
        <v>20</v>
      </c>
      <c r="K5" s="6" t="s">
        <v>21</v>
      </c>
    </row>
    <row r="6" customFormat="false" ht="27.75" hidden="false" customHeight="true" outlineLevel="0" collapsed="false">
      <c r="A6" s="4" t="n">
        <v>2</v>
      </c>
      <c r="B6" s="6" t="s">
        <v>13</v>
      </c>
      <c r="C6" s="6" t="s">
        <v>22</v>
      </c>
      <c r="D6" s="4" t="n">
        <v>1</v>
      </c>
      <c r="E6" s="6" t="s">
        <v>23</v>
      </c>
      <c r="F6" s="6" t="s">
        <v>24</v>
      </c>
      <c r="G6" s="6" t="s">
        <v>25</v>
      </c>
      <c r="H6" s="6" t="s">
        <v>26</v>
      </c>
      <c r="I6" s="4" t="s">
        <v>19</v>
      </c>
      <c r="J6" s="4" t="s">
        <v>20</v>
      </c>
      <c r="K6" s="6" t="s">
        <v>27</v>
      </c>
    </row>
    <row r="7" customFormat="false" ht="27.75" hidden="false" customHeight="true" outlineLevel="0" collapsed="false">
      <c r="A7" s="4" t="n">
        <v>3</v>
      </c>
      <c r="B7" s="6" t="s">
        <v>13</v>
      </c>
      <c r="C7" s="6" t="s">
        <v>28</v>
      </c>
      <c r="D7" s="4" t="n">
        <v>1</v>
      </c>
      <c r="E7" s="6" t="s">
        <v>29</v>
      </c>
      <c r="F7" s="6" t="s">
        <v>30</v>
      </c>
      <c r="G7" s="6" t="s">
        <v>31</v>
      </c>
      <c r="H7" s="6" t="s">
        <v>32</v>
      </c>
      <c r="I7" s="4" t="s">
        <v>19</v>
      </c>
      <c r="J7" s="4" t="s">
        <v>20</v>
      </c>
      <c r="K7" s="6" t="s">
        <v>33</v>
      </c>
    </row>
    <row r="8" customFormat="false" ht="27.75" hidden="false" customHeight="true" outlineLevel="0" collapsed="false">
      <c r="A8" s="4" t="n">
        <v>4</v>
      </c>
      <c r="B8" s="6" t="s">
        <v>13</v>
      </c>
      <c r="C8" s="6" t="s">
        <v>34</v>
      </c>
      <c r="D8" s="4" t="n">
        <v>1</v>
      </c>
      <c r="E8" s="6" t="s">
        <v>35</v>
      </c>
      <c r="F8" s="6" t="s">
        <v>36</v>
      </c>
      <c r="G8" s="6" t="s">
        <v>37</v>
      </c>
      <c r="H8" s="6" t="s">
        <v>32</v>
      </c>
      <c r="I8" s="4" t="s">
        <v>19</v>
      </c>
      <c r="J8" s="4" t="s">
        <v>20</v>
      </c>
      <c r="K8" s="6" t="s">
        <v>38</v>
      </c>
    </row>
    <row r="9" customFormat="false" ht="27.75" hidden="false" customHeight="true" outlineLevel="0" collapsed="false">
      <c r="A9" s="4" t="n">
        <v>5</v>
      </c>
      <c r="B9" s="6" t="s">
        <v>13</v>
      </c>
      <c r="C9" s="6" t="s">
        <v>39</v>
      </c>
      <c r="D9" s="4" t="n">
        <v>1</v>
      </c>
      <c r="E9" s="6" t="s">
        <v>40</v>
      </c>
      <c r="F9" s="6" t="s">
        <v>41</v>
      </c>
      <c r="G9" s="6" t="s">
        <v>42</v>
      </c>
      <c r="H9" s="6" t="s">
        <v>43</v>
      </c>
      <c r="I9" s="4" t="s">
        <v>19</v>
      </c>
      <c r="J9" s="4" t="s">
        <v>20</v>
      </c>
      <c r="K9" s="6" t="s">
        <v>44</v>
      </c>
    </row>
    <row r="10" customFormat="false" ht="27.75" hidden="false" customHeight="true" outlineLevel="0" collapsed="false">
      <c r="A10" s="4" t="n">
        <v>6</v>
      </c>
      <c r="B10" s="6" t="s">
        <v>13</v>
      </c>
      <c r="C10" s="6" t="s">
        <v>45</v>
      </c>
      <c r="D10" s="4" t="n">
        <v>1</v>
      </c>
      <c r="E10" s="6" t="s">
        <v>46</v>
      </c>
      <c r="F10" s="6" t="s">
        <v>47</v>
      </c>
      <c r="G10" s="6" t="s">
        <v>48</v>
      </c>
      <c r="H10" s="6" t="s">
        <v>49</v>
      </c>
      <c r="I10" s="4" t="s">
        <v>19</v>
      </c>
      <c r="J10" s="4" t="s">
        <v>20</v>
      </c>
      <c r="K10" s="6" t="s">
        <v>50</v>
      </c>
    </row>
    <row r="11" customFormat="false" ht="27.75" hidden="false" customHeight="true" outlineLevel="0" collapsed="false">
      <c r="A11" s="4" t="n">
        <v>7</v>
      </c>
      <c r="B11" s="5" t="s">
        <v>51</v>
      </c>
      <c r="C11" s="6" t="s">
        <v>52</v>
      </c>
      <c r="D11" s="4" t="n">
        <v>3</v>
      </c>
      <c r="E11" s="6" t="s">
        <v>53</v>
      </c>
      <c r="F11" s="6" t="s">
        <v>54</v>
      </c>
      <c r="G11" s="6" t="s">
        <v>55</v>
      </c>
      <c r="H11" s="6" t="s">
        <v>56</v>
      </c>
      <c r="I11" s="4" t="s">
        <v>57</v>
      </c>
      <c r="J11" s="4" t="s">
        <v>20</v>
      </c>
      <c r="K11" s="6" t="s">
        <v>58</v>
      </c>
    </row>
    <row r="12" customFormat="false" ht="27.75" hidden="false" customHeight="true" outlineLevel="0" collapsed="false">
      <c r="A12" s="4" t="n">
        <v>8</v>
      </c>
      <c r="B12" s="6" t="s">
        <v>51</v>
      </c>
      <c r="C12" s="6" t="s">
        <v>59</v>
      </c>
      <c r="D12" s="4" t="n">
        <v>1</v>
      </c>
      <c r="E12" s="6" t="s">
        <v>60</v>
      </c>
      <c r="F12" s="6" t="s">
        <v>61</v>
      </c>
      <c r="G12" s="6" t="s">
        <v>62</v>
      </c>
      <c r="H12" s="6" t="s">
        <v>63</v>
      </c>
      <c r="I12" s="4" t="s">
        <v>57</v>
      </c>
      <c r="J12" s="4" t="s">
        <v>20</v>
      </c>
      <c r="K12" s="6" t="s">
        <v>64</v>
      </c>
    </row>
    <row r="13" customFormat="false" ht="27.75" hidden="false" customHeight="true" outlineLevel="0" collapsed="false">
      <c r="A13" s="4" t="n">
        <v>9</v>
      </c>
      <c r="B13" s="6" t="s">
        <v>51</v>
      </c>
      <c r="C13" s="6" t="s">
        <v>65</v>
      </c>
      <c r="D13" s="4" t="n">
        <v>1</v>
      </c>
      <c r="E13" s="6" t="s">
        <v>66</v>
      </c>
      <c r="F13" s="6" t="s">
        <v>61</v>
      </c>
      <c r="G13" s="6" t="s">
        <v>62</v>
      </c>
      <c r="H13" s="6" t="s">
        <v>63</v>
      </c>
      <c r="I13" s="4" t="s">
        <v>57</v>
      </c>
      <c r="J13" s="4" t="s">
        <v>20</v>
      </c>
      <c r="K13" s="6" t="s">
        <v>67</v>
      </c>
    </row>
    <row r="14" customFormat="false" ht="27.75" hidden="false" customHeight="true" outlineLevel="0" collapsed="false">
      <c r="A14" s="4" t="n">
        <v>10</v>
      </c>
      <c r="B14" s="6" t="s">
        <v>51</v>
      </c>
      <c r="C14" s="6" t="s">
        <v>68</v>
      </c>
      <c r="D14" s="4" t="n">
        <v>1</v>
      </c>
      <c r="E14" s="6" t="s">
        <v>69</v>
      </c>
      <c r="F14" s="6" t="s">
        <v>70</v>
      </c>
      <c r="G14" s="6" t="s">
        <v>71</v>
      </c>
      <c r="H14" s="6" t="s">
        <v>72</v>
      </c>
      <c r="I14" s="4" t="s">
        <v>19</v>
      </c>
      <c r="J14" s="4" t="s">
        <v>20</v>
      </c>
      <c r="K14" s="6" t="s">
        <v>73</v>
      </c>
    </row>
    <row r="15" customFormat="false" ht="27.75" hidden="false" customHeight="true" outlineLevel="0" collapsed="false">
      <c r="A15" s="4" t="n">
        <v>11</v>
      </c>
      <c r="B15" s="6" t="s">
        <v>51</v>
      </c>
      <c r="C15" s="6" t="s">
        <v>74</v>
      </c>
      <c r="D15" s="4" t="n">
        <v>1</v>
      </c>
      <c r="E15" s="6" t="s">
        <v>75</v>
      </c>
      <c r="F15" s="6" t="s">
        <v>76</v>
      </c>
      <c r="G15" s="6" t="s">
        <v>77</v>
      </c>
      <c r="H15" s="6" t="s">
        <v>78</v>
      </c>
      <c r="I15" s="4" t="s">
        <v>57</v>
      </c>
      <c r="J15" s="4" t="s">
        <v>20</v>
      </c>
      <c r="K15" s="6" t="s">
        <v>79</v>
      </c>
    </row>
    <row r="16" customFormat="false" ht="27.75" hidden="false" customHeight="true" outlineLevel="0" collapsed="false">
      <c r="A16" s="4" t="n">
        <v>12</v>
      </c>
      <c r="B16" s="5" t="s">
        <v>80</v>
      </c>
      <c r="C16" s="6" t="s">
        <v>81</v>
      </c>
      <c r="D16" s="4" t="n">
        <v>1</v>
      </c>
      <c r="E16" s="6" t="s">
        <v>82</v>
      </c>
      <c r="F16" s="6" t="s">
        <v>83</v>
      </c>
      <c r="G16" s="6" t="s">
        <v>84</v>
      </c>
      <c r="H16" s="6" t="s">
        <v>85</v>
      </c>
      <c r="I16" s="4" t="s">
        <v>19</v>
      </c>
      <c r="J16" s="4" t="s">
        <v>20</v>
      </c>
      <c r="K16" s="6" t="s">
        <v>86</v>
      </c>
    </row>
    <row r="17" customFormat="false" ht="27.75" hidden="false" customHeight="true" outlineLevel="0" collapsed="false">
      <c r="A17" s="4" t="n">
        <v>13</v>
      </c>
      <c r="B17" s="6" t="s">
        <v>80</v>
      </c>
      <c r="C17" s="6" t="s">
        <v>87</v>
      </c>
      <c r="D17" s="4" t="n">
        <v>1</v>
      </c>
      <c r="E17" s="6" t="s">
        <v>88</v>
      </c>
      <c r="F17" s="6" t="s">
        <v>89</v>
      </c>
      <c r="G17" s="6" t="s">
        <v>90</v>
      </c>
      <c r="H17" s="6" t="s">
        <v>91</v>
      </c>
      <c r="I17" s="4" t="s">
        <v>92</v>
      </c>
      <c r="J17" s="4" t="s">
        <v>20</v>
      </c>
      <c r="K17" s="6" t="s">
        <v>93</v>
      </c>
    </row>
    <row r="18" customFormat="false" ht="27.75" hidden="false" customHeight="true" outlineLevel="0" collapsed="false">
      <c r="A18" s="4" t="n">
        <v>14</v>
      </c>
      <c r="B18" s="6" t="s">
        <v>80</v>
      </c>
      <c r="C18" s="6" t="s">
        <v>94</v>
      </c>
      <c r="D18" s="4" t="n">
        <v>1</v>
      </c>
      <c r="E18" s="6" t="s">
        <v>95</v>
      </c>
      <c r="F18" s="6" t="s">
        <v>96</v>
      </c>
      <c r="G18" s="6" t="s">
        <v>97</v>
      </c>
      <c r="H18" s="6" t="s">
        <v>91</v>
      </c>
      <c r="I18" s="4" t="s">
        <v>92</v>
      </c>
      <c r="J18" s="4" t="s">
        <v>20</v>
      </c>
      <c r="K18" s="6" t="s">
        <v>98</v>
      </c>
    </row>
    <row r="19" customFormat="false" ht="27.75" hidden="false" customHeight="true" outlineLevel="0" collapsed="false">
      <c r="A19" s="4" t="n">
        <v>15</v>
      </c>
      <c r="B19" s="6" t="s">
        <v>80</v>
      </c>
      <c r="C19" s="6" t="s">
        <v>99</v>
      </c>
      <c r="D19" s="4" t="n">
        <v>1</v>
      </c>
      <c r="E19" s="6" t="s">
        <v>100</v>
      </c>
      <c r="F19" s="6" t="s">
        <v>101</v>
      </c>
      <c r="G19" s="6" t="s">
        <v>102</v>
      </c>
      <c r="H19" s="6" t="s">
        <v>103</v>
      </c>
      <c r="I19" s="4" t="s">
        <v>92</v>
      </c>
      <c r="J19" s="4" t="s">
        <v>20</v>
      </c>
      <c r="K19" s="6" t="s">
        <v>104</v>
      </c>
    </row>
    <row r="20" customFormat="false" ht="27.75" hidden="false" customHeight="true" outlineLevel="0" collapsed="false">
      <c r="A20" s="4" t="n">
        <v>16</v>
      </c>
      <c r="B20" s="6" t="s">
        <v>80</v>
      </c>
      <c r="C20" s="6" t="s">
        <v>105</v>
      </c>
      <c r="D20" s="4" t="n">
        <v>2</v>
      </c>
      <c r="E20" s="6" t="s">
        <v>106</v>
      </c>
      <c r="F20" s="6" t="s">
        <v>107</v>
      </c>
      <c r="G20" s="6" t="s">
        <v>62</v>
      </c>
      <c r="H20" s="6" t="s">
        <v>106</v>
      </c>
      <c r="I20" s="4" t="s">
        <v>57</v>
      </c>
      <c r="J20" s="4" t="s">
        <v>20</v>
      </c>
      <c r="K20" s="6" t="s">
        <v>108</v>
      </c>
    </row>
    <row r="21" customFormat="false" ht="27.75" hidden="false" customHeight="true" outlineLevel="0" collapsed="false">
      <c r="A21" s="4" t="n">
        <v>17</v>
      </c>
      <c r="B21" s="5" t="s">
        <v>109</v>
      </c>
      <c r="C21" s="6" t="s">
        <v>110</v>
      </c>
      <c r="D21" s="4" t="n">
        <v>2</v>
      </c>
      <c r="E21" s="6" t="s">
        <v>111</v>
      </c>
      <c r="F21" s="6" t="s">
        <v>112</v>
      </c>
      <c r="G21" s="6" t="s">
        <v>62</v>
      </c>
      <c r="H21" s="6" t="s">
        <v>63</v>
      </c>
      <c r="I21" s="4" t="s">
        <v>57</v>
      </c>
      <c r="J21" s="4" t="s">
        <v>20</v>
      </c>
      <c r="K21" s="6" t="s">
        <v>113</v>
      </c>
    </row>
    <row r="22" customFormat="false" ht="27.75" hidden="false" customHeight="true" outlineLevel="0" collapsed="false">
      <c r="A22" s="4" t="n">
        <v>18</v>
      </c>
      <c r="B22" s="6" t="s">
        <v>109</v>
      </c>
      <c r="C22" s="6" t="s">
        <v>114</v>
      </c>
      <c r="D22" s="4" t="n">
        <v>2</v>
      </c>
      <c r="E22" s="6" t="s">
        <v>115</v>
      </c>
      <c r="F22" s="6" t="s">
        <v>112</v>
      </c>
      <c r="G22" s="6" t="s">
        <v>62</v>
      </c>
      <c r="H22" s="6" t="s">
        <v>63</v>
      </c>
      <c r="I22" s="4" t="s">
        <v>57</v>
      </c>
      <c r="J22" s="4" t="s">
        <v>20</v>
      </c>
      <c r="K22" s="6" t="s">
        <v>116</v>
      </c>
    </row>
    <row r="23" customFormat="false" ht="27.75" hidden="false" customHeight="true" outlineLevel="0" collapsed="false">
      <c r="A23" s="4" t="n">
        <v>19</v>
      </c>
      <c r="B23" s="6" t="s">
        <v>109</v>
      </c>
      <c r="C23" s="6" t="s">
        <v>117</v>
      </c>
      <c r="D23" s="4" t="n">
        <v>3</v>
      </c>
      <c r="E23" s="6" t="s">
        <v>118</v>
      </c>
      <c r="F23" s="6" t="s">
        <v>112</v>
      </c>
      <c r="G23" s="6" t="s">
        <v>62</v>
      </c>
      <c r="H23" s="6" t="s">
        <v>63</v>
      </c>
      <c r="I23" s="4" t="s">
        <v>57</v>
      </c>
      <c r="J23" s="4" t="s">
        <v>20</v>
      </c>
      <c r="K23" s="6" t="s">
        <v>119</v>
      </c>
    </row>
    <row r="24" customFormat="false" ht="27.75" hidden="false" customHeight="true" outlineLevel="0" collapsed="false">
      <c r="A24" s="4" t="n">
        <v>20</v>
      </c>
      <c r="B24" s="6" t="s">
        <v>109</v>
      </c>
      <c r="C24" s="6" t="s">
        <v>120</v>
      </c>
      <c r="D24" s="4" t="n">
        <v>2</v>
      </c>
      <c r="E24" s="6" t="s">
        <v>121</v>
      </c>
      <c r="F24" s="6" t="s">
        <v>112</v>
      </c>
      <c r="G24" s="6" t="s">
        <v>62</v>
      </c>
      <c r="H24" s="6" t="s">
        <v>63</v>
      </c>
      <c r="I24" s="4" t="s">
        <v>57</v>
      </c>
      <c r="J24" s="4" t="s">
        <v>20</v>
      </c>
      <c r="K24" s="6" t="s">
        <v>122</v>
      </c>
    </row>
    <row r="25" customFormat="false" ht="27.75" hidden="false" customHeight="true" outlineLevel="0" collapsed="false">
      <c r="A25" s="4" t="n">
        <v>21</v>
      </c>
      <c r="B25" s="6" t="s">
        <v>109</v>
      </c>
      <c r="C25" s="6" t="s">
        <v>123</v>
      </c>
      <c r="D25" s="4" t="n">
        <v>2</v>
      </c>
      <c r="E25" s="6" t="s">
        <v>124</v>
      </c>
      <c r="F25" s="6" t="s">
        <v>112</v>
      </c>
      <c r="G25" s="6" t="s">
        <v>62</v>
      </c>
      <c r="H25" s="6" t="s">
        <v>63</v>
      </c>
      <c r="I25" s="4" t="s">
        <v>57</v>
      </c>
      <c r="J25" s="4" t="s">
        <v>20</v>
      </c>
      <c r="K25" s="6" t="s">
        <v>125</v>
      </c>
    </row>
    <row r="26" customFormat="false" ht="27.75" hidden="false" customHeight="true" outlineLevel="0" collapsed="false">
      <c r="A26" s="4" t="n">
        <v>22</v>
      </c>
      <c r="B26" s="6" t="s">
        <v>109</v>
      </c>
      <c r="C26" s="6" t="s">
        <v>126</v>
      </c>
      <c r="D26" s="4" t="n">
        <v>2</v>
      </c>
      <c r="E26" s="6" t="s">
        <v>127</v>
      </c>
      <c r="F26" s="6" t="s">
        <v>112</v>
      </c>
      <c r="G26" s="6" t="s">
        <v>62</v>
      </c>
      <c r="H26" s="6" t="s">
        <v>63</v>
      </c>
      <c r="I26" s="4" t="s">
        <v>57</v>
      </c>
      <c r="J26" s="4" t="s">
        <v>20</v>
      </c>
      <c r="K26" s="6" t="s">
        <v>128</v>
      </c>
    </row>
    <row r="27" customFormat="false" ht="27.75" hidden="false" customHeight="true" outlineLevel="0" collapsed="false">
      <c r="A27" s="4" t="n">
        <v>23</v>
      </c>
      <c r="B27" s="6" t="s">
        <v>109</v>
      </c>
      <c r="C27" s="6" t="s">
        <v>129</v>
      </c>
      <c r="D27" s="4" t="n">
        <v>2</v>
      </c>
      <c r="E27" s="6" t="s">
        <v>130</v>
      </c>
      <c r="F27" s="6" t="s">
        <v>112</v>
      </c>
      <c r="G27" s="6" t="s">
        <v>62</v>
      </c>
      <c r="H27" s="6" t="s">
        <v>63</v>
      </c>
      <c r="I27" s="4" t="s">
        <v>57</v>
      </c>
      <c r="J27" s="4" t="s">
        <v>20</v>
      </c>
      <c r="K27" s="6" t="s">
        <v>131</v>
      </c>
    </row>
    <row r="28" customFormat="false" ht="27.75" hidden="false" customHeight="true" outlineLevel="0" collapsed="false">
      <c r="A28" s="4" t="n">
        <v>24</v>
      </c>
      <c r="B28" s="6" t="s">
        <v>109</v>
      </c>
      <c r="C28" s="6" t="s">
        <v>132</v>
      </c>
      <c r="D28" s="4" t="n">
        <v>2</v>
      </c>
      <c r="E28" s="6" t="s">
        <v>133</v>
      </c>
      <c r="F28" s="6" t="s">
        <v>112</v>
      </c>
      <c r="G28" s="6" t="s">
        <v>62</v>
      </c>
      <c r="H28" s="6" t="s">
        <v>63</v>
      </c>
      <c r="I28" s="4" t="s">
        <v>57</v>
      </c>
      <c r="J28" s="4" t="s">
        <v>20</v>
      </c>
      <c r="K28" s="6" t="s">
        <v>134</v>
      </c>
    </row>
    <row r="29" customFormat="false" ht="27.75" hidden="false" customHeight="true" outlineLevel="0" collapsed="false">
      <c r="A29" s="4" t="n">
        <v>25</v>
      </c>
      <c r="B29" s="5" t="s">
        <v>135</v>
      </c>
      <c r="C29" s="6" t="s">
        <v>136</v>
      </c>
      <c r="D29" s="4" t="n">
        <v>1</v>
      </c>
      <c r="E29" s="6" t="s">
        <v>137</v>
      </c>
      <c r="F29" s="6" t="s">
        <v>138</v>
      </c>
      <c r="G29" s="6" t="s">
        <v>62</v>
      </c>
      <c r="H29" s="6" t="s">
        <v>139</v>
      </c>
      <c r="I29" s="4" t="s">
        <v>57</v>
      </c>
      <c r="J29" s="4" t="s">
        <v>20</v>
      </c>
      <c r="K29" s="6" t="s">
        <v>140</v>
      </c>
    </row>
    <row r="30" customFormat="false" ht="27.75" hidden="false" customHeight="true" outlineLevel="0" collapsed="false">
      <c r="A30" s="4" t="n">
        <v>26</v>
      </c>
      <c r="B30" s="6" t="s">
        <v>135</v>
      </c>
      <c r="C30" s="6" t="s">
        <v>141</v>
      </c>
      <c r="D30" s="4" t="n">
        <v>2</v>
      </c>
      <c r="E30" s="6" t="s">
        <v>142</v>
      </c>
      <c r="F30" s="6" t="s">
        <v>143</v>
      </c>
      <c r="G30" s="6" t="s">
        <v>62</v>
      </c>
      <c r="H30" s="6" t="s">
        <v>63</v>
      </c>
      <c r="I30" s="4" t="s">
        <v>57</v>
      </c>
      <c r="J30" s="4" t="s">
        <v>20</v>
      </c>
      <c r="K30" s="6" t="s">
        <v>144</v>
      </c>
    </row>
    <row r="31" customFormat="false" ht="27.75" hidden="false" customHeight="true" outlineLevel="0" collapsed="false">
      <c r="A31" s="4" t="n">
        <v>27</v>
      </c>
      <c r="B31" s="6" t="s">
        <v>135</v>
      </c>
      <c r="C31" s="6" t="s">
        <v>145</v>
      </c>
      <c r="D31" s="4" t="n">
        <v>1</v>
      </c>
      <c r="E31" s="6" t="s">
        <v>146</v>
      </c>
      <c r="F31" s="6" t="s">
        <v>138</v>
      </c>
      <c r="G31" s="6" t="s">
        <v>62</v>
      </c>
      <c r="H31" s="6" t="s">
        <v>139</v>
      </c>
      <c r="I31" s="4" t="s">
        <v>57</v>
      </c>
      <c r="J31" s="4" t="s">
        <v>20</v>
      </c>
      <c r="K31" s="6" t="s">
        <v>147</v>
      </c>
    </row>
    <row r="32" customFormat="false" ht="27.75" hidden="false" customHeight="true" outlineLevel="0" collapsed="false">
      <c r="A32" s="4" t="n">
        <v>28</v>
      </c>
      <c r="B32" s="6" t="s">
        <v>135</v>
      </c>
      <c r="C32" s="6" t="s">
        <v>148</v>
      </c>
      <c r="D32" s="4" t="n">
        <v>1</v>
      </c>
      <c r="E32" s="6" t="s">
        <v>149</v>
      </c>
      <c r="F32" s="6" t="s">
        <v>143</v>
      </c>
      <c r="G32" s="6" t="s">
        <v>62</v>
      </c>
      <c r="H32" s="6" t="s">
        <v>63</v>
      </c>
      <c r="I32" s="4" t="s">
        <v>57</v>
      </c>
      <c r="J32" s="4" t="s">
        <v>20</v>
      </c>
      <c r="K32" s="6" t="s">
        <v>150</v>
      </c>
    </row>
    <row r="33" customFormat="false" ht="27.75" hidden="false" customHeight="true" outlineLevel="0" collapsed="false">
      <c r="A33" s="4" t="n">
        <v>29</v>
      </c>
      <c r="B33" s="6" t="s">
        <v>135</v>
      </c>
      <c r="C33" s="6" t="s">
        <v>151</v>
      </c>
      <c r="D33" s="4" t="n">
        <v>1</v>
      </c>
      <c r="E33" s="6" t="s">
        <v>142</v>
      </c>
      <c r="F33" s="6" t="s">
        <v>143</v>
      </c>
      <c r="G33" s="6" t="s">
        <v>62</v>
      </c>
      <c r="H33" s="6" t="s">
        <v>63</v>
      </c>
      <c r="I33" s="4" t="s">
        <v>57</v>
      </c>
      <c r="J33" s="4" t="s">
        <v>20</v>
      </c>
      <c r="K33" s="6" t="s">
        <v>152</v>
      </c>
    </row>
    <row r="34" customFormat="false" ht="27.75" hidden="false" customHeight="true" outlineLevel="0" collapsed="false">
      <c r="A34" s="4" t="n">
        <v>30</v>
      </c>
      <c r="B34" s="6" t="s">
        <v>135</v>
      </c>
      <c r="C34" s="6" t="s">
        <v>153</v>
      </c>
      <c r="D34" s="4" t="n">
        <v>1</v>
      </c>
      <c r="E34" s="6" t="s">
        <v>149</v>
      </c>
      <c r="F34" s="6" t="s">
        <v>143</v>
      </c>
      <c r="G34" s="6" t="s">
        <v>62</v>
      </c>
      <c r="H34" s="6" t="s">
        <v>63</v>
      </c>
      <c r="I34" s="4" t="s">
        <v>57</v>
      </c>
      <c r="J34" s="4" t="s">
        <v>20</v>
      </c>
      <c r="K34" s="6" t="s">
        <v>154</v>
      </c>
    </row>
    <row r="35" customFormat="false" ht="27.75" hidden="false" customHeight="true" outlineLevel="0" collapsed="false">
      <c r="A35" s="4" t="n">
        <v>31</v>
      </c>
      <c r="B35" s="6" t="s">
        <v>135</v>
      </c>
      <c r="C35" s="6" t="s">
        <v>155</v>
      </c>
      <c r="D35" s="4" t="n">
        <v>2</v>
      </c>
      <c r="E35" s="6" t="s">
        <v>149</v>
      </c>
      <c r="F35" s="6" t="s">
        <v>143</v>
      </c>
      <c r="G35" s="6" t="s">
        <v>62</v>
      </c>
      <c r="H35" s="6" t="s">
        <v>63</v>
      </c>
      <c r="I35" s="4" t="s">
        <v>57</v>
      </c>
      <c r="J35" s="4" t="s">
        <v>20</v>
      </c>
      <c r="K35" s="6" t="s">
        <v>156</v>
      </c>
    </row>
    <row r="36" customFormat="false" ht="27.75" hidden="false" customHeight="true" outlineLevel="0" collapsed="false">
      <c r="A36" s="4" t="n">
        <v>32</v>
      </c>
      <c r="B36" s="6" t="s">
        <v>135</v>
      </c>
      <c r="C36" s="6" t="s">
        <v>157</v>
      </c>
      <c r="D36" s="4" t="n">
        <v>1</v>
      </c>
      <c r="E36" s="6" t="s">
        <v>149</v>
      </c>
      <c r="F36" s="6" t="s">
        <v>143</v>
      </c>
      <c r="G36" s="6" t="s">
        <v>62</v>
      </c>
      <c r="H36" s="6" t="s">
        <v>63</v>
      </c>
      <c r="I36" s="4" t="s">
        <v>57</v>
      </c>
      <c r="J36" s="4" t="s">
        <v>20</v>
      </c>
      <c r="K36" s="6" t="s">
        <v>158</v>
      </c>
    </row>
    <row r="37" customFormat="false" ht="27.75" hidden="false" customHeight="true" outlineLevel="0" collapsed="false">
      <c r="A37" s="4" t="n">
        <v>33</v>
      </c>
      <c r="B37" s="6" t="s">
        <v>135</v>
      </c>
      <c r="C37" s="6" t="s">
        <v>159</v>
      </c>
      <c r="D37" s="4" t="n">
        <v>1</v>
      </c>
      <c r="E37" s="6" t="s">
        <v>149</v>
      </c>
      <c r="F37" s="6" t="s">
        <v>143</v>
      </c>
      <c r="G37" s="6" t="s">
        <v>62</v>
      </c>
      <c r="H37" s="6" t="s">
        <v>63</v>
      </c>
      <c r="I37" s="4" t="s">
        <v>57</v>
      </c>
      <c r="J37" s="4" t="s">
        <v>20</v>
      </c>
      <c r="K37" s="6" t="s">
        <v>160</v>
      </c>
    </row>
    <row r="38" customFormat="false" ht="27.75" hidden="false" customHeight="true" outlineLevel="0" collapsed="false">
      <c r="A38" s="4" t="n">
        <v>34</v>
      </c>
      <c r="B38" s="6" t="s">
        <v>135</v>
      </c>
      <c r="C38" s="6" t="s">
        <v>161</v>
      </c>
      <c r="D38" s="4" t="n">
        <v>2</v>
      </c>
      <c r="E38" s="6" t="s">
        <v>162</v>
      </c>
      <c r="F38" s="6" t="s">
        <v>143</v>
      </c>
      <c r="G38" s="6" t="s">
        <v>62</v>
      </c>
      <c r="H38" s="6" t="s">
        <v>63</v>
      </c>
      <c r="I38" s="4" t="s">
        <v>57</v>
      </c>
      <c r="J38" s="4" t="s">
        <v>20</v>
      </c>
      <c r="K38" s="6" t="s">
        <v>163</v>
      </c>
    </row>
    <row r="39" customFormat="false" ht="27.75" hidden="false" customHeight="true" outlineLevel="0" collapsed="false">
      <c r="A39" s="4" t="n">
        <v>35</v>
      </c>
      <c r="B39" s="6" t="s">
        <v>135</v>
      </c>
      <c r="C39" s="6" t="s">
        <v>164</v>
      </c>
      <c r="D39" s="4" t="n">
        <v>1</v>
      </c>
      <c r="E39" s="6" t="s">
        <v>149</v>
      </c>
      <c r="F39" s="6" t="s">
        <v>143</v>
      </c>
      <c r="G39" s="6" t="s">
        <v>62</v>
      </c>
      <c r="H39" s="6" t="s">
        <v>63</v>
      </c>
      <c r="I39" s="4" t="s">
        <v>57</v>
      </c>
      <c r="J39" s="4" t="s">
        <v>20</v>
      </c>
      <c r="K39" s="6" t="s">
        <v>165</v>
      </c>
    </row>
    <row r="40" customFormat="false" ht="27.75" hidden="false" customHeight="true" outlineLevel="0" collapsed="false">
      <c r="A40" s="7"/>
      <c r="B40" s="8" t="s">
        <v>166</v>
      </c>
      <c r="C40" s="8" t="s">
        <v>167</v>
      </c>
      <c r="D40" s="7" t="n">
        <v>2</v>
      </c>
      <c r="E40" s="8" t="s">
        <v>168</v>
      </c>
      <c r="F40" s="8" t="s">
        <v>169</v>
      </c>
      <c r="G40" s="8" t="s">
        <v>170</v>
      </c>
      <c r="H40" s="8" t="s">
        <v>63</v>
      </c>
      <c r="I40" s="7" t="s">
        <v>170</v>
      </c>
      <c r="J40" s="7" t="s">
        <v>171</v>
      </c>
      <c r="K40" s="8" t="s">
        <v>172</v>
      </c>
    </row>
    <row r="42" customFormat="false" ht="15" hidden="false" customHeight="false" outlineLevel="0" collapsed="false">
      <c r="B42" s="9" t="s">
        <v>173</v>
      </c>
    </row>
    <row r="43" customFormat="false" ht="15" hidden="false" customHeight="false" outlineLevel="0" collapsed="false">
      <c r="B43" s="10" t="s">
        <v>174</v>
      </c>
      <c r="D43" s="11" t="n">
        <f aca="false">COUNTA(C5:C40)</f>
        <v>36</v>
      </c>
    </row>
    <row r="44" customFormat="false" ht="15" hidden="false" customHeight="false" outlineLevel="0" collapsed="false">
      <c r="B44" s="10" t="s">
        <v>175</v>
      </c>
      <c r="D44" s="11" t="n">
        <f aca="false">SUMIF(J5:J40,"Yes",D5:D40)</f>
        <v>50</v>
      </c>
    </row>
    <row r="45" customFormat="false" ht="15" hidden="false" customHeight="false" outlineLevel="0" collapsed="false">
      <c r="B45" s="10" t="s">
        <v>176</v>
      </c>
      <c r="D45" s="11" t="n">
        <f aca="false">SUMIF(J5:J40,"No (DNP)",D5:D40)</f>
        <v>2</v>
      </c>
    </row>
    <row r="46" customFormat="false" ht="15" hidden="false" customHeight="false" outlineLevel="0" collapsed="false">
      <c r="B46" s="10" t="s">
        <v>177</v>
      </c>
      <c r="D46" s="11" t="n">
        <f aca="false">SUM(D5:D40)</f>
        <v>52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2"/>
  </cols>
  <sheetData>
    <row r="1" customFormat="false" ht="24" hidden="false" customHeight="true" outlineLevel="0" collapsed="false">
      <c r="A1" s="12" t="s">
        <v>178</v>
      </c>
      <c r="B1" s="12"/>
      <c r="C1" s="12"/>
      <c r="D1" s="12"/>
      <c r="E1" s="12"/>
    </row>
    <row r="2" customFormat="false" ht="25.5" hidden="false" customHeight="true" outlineLevel="0" collapsed="false">
      <c r="A2" s="3" t="s">
        <v>179</v>
      </c>
      <c r="B2" s="3" t="s">
        <v>180</v>
      </c>
      <c r="C2" s="3" t="s">
        <v>181</v>
      </c>
      <c r="D2" s="3" t="s">
        <v>182</v>
      </c>
      <c r="E2" s="3" t="s">
        <v>183</v>
      </c>
    </row>
    <row r="3" customFormat="false" ht="39.75" hidden="false" customHeight="true" outlineLevel="0" collapsed="false">
      <c r="A3" s="6" t="s">
        <v>184</v>
      </c>
      <c r="B3" s="6" t="s">
        <v>185</v>
      </c>
      <c r="C3" s="6" t="s">
        <v>87</v>
      </c>
      <c r="D3" s="6" t="s">
        <v>186</v>
      </c>
      <c r="E3" s="6" t="s">
        <v>187</v>
      </c>
    </row>
    <row r="4" customFormat="false" ht="39.75" hidden="false" customHeight="true" outlineLevel="0" collapsed="false">
      <c r="A4" s="6" t="s">
        <v>188</v>
      </c>
      <c r="B4" s="6" t="s">
        <v>189</v>
      </c>
      <c r="C4" s="6" t="s">
        <v>94</v>
      </c>
      <c r="D4" s="6" t="s">
        <v>190</v>
      </c>
      <c r="E4" s="6" t="s">
        <v>191</v>
      </c>
    </row>
    <row r="5" customFormat="false" ht="39.75" hidden="false" customHeight="true" outlineLevel="0" collapsed="false">
      <c r="A5" s="6" t="s">
        <v>192</v>
      </c>
      <c r="B5" s="6" t="s">
        <v>193</v>
      </c>
      <c r="C5" s="6" t="s">
        <v>87</v>
      </c>
      <c r="D5" s="6" t="s">
        <v>194</v>
      </c>
      <c r="E5" s="6" t="s">
        <v>195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2026-07-19T22:56:04Z</dcterms:created>
  <dc:creator>openpyxl</dc:creator>
  <dc:description/>
  <dc:language>en-US</dc:language>
  <cp:lastModifiedBy/>
  <dcterms:modified xsi:type="dcterms:W3CDTF">2026-07-19T22:56:04Z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