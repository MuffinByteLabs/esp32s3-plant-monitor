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Bought separate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00000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b val="1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2F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5" customWidth="1" min="4" max="4"/>
    <col width="16" customWidth="1" min="5" max="5"/>
    <col width="22" customWidth="1" min="6" max="6"/>
    <col width="10" customWidth="1" min="7" max="7"/>
    <col width="34" customWidth="1" min="8" max="8"/>
    <col width="10" customWidth="1" min="9" max="9"/>
    <col width="10" customWidth="1" min="10" max="10"/>
    <col width="60" customWidth="1" min="11" max="11"/>
  </cols>
  <sheetData>
    <row r="1">
      <c r="A1" s="1" t="inlineStr">
        <is>
          <t>ESP32-S3 Plant Monitor — Rev A — Bill of Materials</t>
        </is>
      </c>
    </row>
    <row r="2" ht="42" customHeight="1">
      <c r="A2" s="2" t="inlineStr">
        <is>
          <t>GENERATED FROM THE SCHEMATIC 2026-07-20 (53 parts / 29 lines; LCSC fields verified in-file). The schematic is the master — regenerate this sheet after any change. Library status (Basic/Extended) and stock are LIVE values: re-verify every line on jlcpcb.com/parts at order time. Test points &amp; mounting holes intentionally excluded (bare copper / holes).</t>
        </is>
      </c>
    </row>
    <row r="3">
      <c r="A3" s="3" t="inlineStr">
        <is>
          <t>#</t>
        </is>
      </c>
      <c r="B3" s="3" t="inlineStr">
        <is>
          <t>Category</t>
        </is>
      </c>
      <c r="C3" s="3" t="inlineStr">
        <is>
          <t>Designators</t>
        </is>
      </c>
      <c r="D3" s="3" t="inlineStr">
        <is>
          <t>Qty</t>
        </is>
      </c>
      <c r="E3" s="3" t="inlineStr">
        <is>
          <t>Value</t>
        </is>
      </c>
      <c r="F3" s="3" t="inlineStr">
        <is>
          <t>MPN</t>
        </is>
      </c>
      <c r="G3" s="3" t="inlineStr">
        <is>
          <t>LCSC #</t>
        </is>
      </c>
      <c r="H3" s="3" t="inlineStr">
        <is>
          <t>Footprint (package)</t>
        </is>
      </c>
      <c r="I3" s="3" t="inlineStr">
        <is>
          <t>Library</t>
        </is>
      </c>
      <c r="J3" s="3" t="inlineStr">
        <is>
          <t>Populate</t>
        </is>
      </c>
      <c r="K3" s="3" t="inlineStr">
        <is>
          <t>Notes</t>
        </is>
      </c>
    </row>
    <row r="4">
      <c r="A4" s="4" t="n">
        <v>1</v>
      </c>
      <c r="B4" s="4" t="inlineStr">
        <is>
          <t>1 ICs &amp; module</t>
        </is>
      </c>
      <c r="C4" s="5" t="inlineStr">
        <is>
          <t>U1</t>
        </is>
      </c>
      <c r="D4" s="4" t="n">
        <v>1</v>
      </c>
      <c r="E4" s="4" t="inlineStr">
        <is>
          <t>USBLC6-2SC6</t>
        </is>
      </c>
      <c r="F4" s="5" t="inlineStr">
        <is>
          <t>USBLC6-2SC6</t>
        </is>
      </c>
      <c r="G4" s="4" t="inlineStr">
        <is>
          <t>C7519</t>
        </is>
      </c>
      <c r="H4" s="5" t="inlineStr">
        <is>
          <t>SOT-23-6</t>
        </is>
      </c>
      <c r="I4" s="4" t="inlineStr">
        <is>
          <t>Extended</t>
        </is>
      </c>
      <c r="J4" s="4" t="inlineStr">
        <is>
          <t>Yes</t>
        </is>
      </c>
      <c r="K4" s="5" t="inlineStr"/>
    </row>
    <row r="5">
      <c r="A5" s="6" t="n">
        <v>2</v>
      </c>
      <c r="B5" s="6" t="inlineStr">
        <is>
          <t>1 ICs &amp; module</t>
        </is>
      </c>
      <c r="C5" s="7" t="inlineStr">
        <is>
          <t>U2</t>
        </is>
      </c>
      <c r="D5" s="6" t="n">
        <v>1</v>
      </c>
      <c r="E5" s="6" t="inlineStr">
        <is>
          <t>AP2112K-3.3</t>
        </is>
      </c>
      <c r="F5" s="7" t="inlineStr">
        <is>
          <t>AP2112K-3.3TRG1</t>
        </is>
      </c>
      <c r="G5" s="6" t="inlineStr">
        <is>
          <t>C51118</t>
        </is>
      </c>
      <c r="H5" s="7" t="inlineStr">
        <is>
          <t>SOT-23-5</t>
        </is>
      </c>
      <c r="I5" s="6" t="inlineStr">
        <is>
          <t>Extended</t>
        </is>
      </c>
      <c r="J5" s="6" t="inlineStr">
        <is>
          <t>Yes</t>
        </is>
      </c>
      <c r="K5" s="7" t="inlineStr">
        <is>
          <t>3.3 V / 600 mA</t>
        </is>
      </c>
    </row>
    <row r="6">
      <c r="A6" s="4" t="n">
        <v>3</v>
      </c>
      <c r="B6" s="4" t="inlineStr">
        <is>
          <t>1 ICs &amp; module</t>
        </is>
      </c>
      <c r="C6" s="5" t="inlineStr">
        <is>
          <t>U3</t>
        </is>
      </c>
      <c r="D6" s="4" t="n">
        <v>1</v>
      </c>
      <c r="E6" s="4" t="inlineStr">
        <is>
          <t>ESP32-S3-WROOM-1</t>
        </is>
      </c>
      <c r="F6" s="5" t="inlineStr">
        <is>
          <t>ESP32-S3-WROOM-1-N8</t>
        </is>
      </c>
      <c r="G6" s="4" t="inlineStr">
        <is>
          <t>C2913198</t>
        </is>
      </c>
      <c r="H6" s="5" t="inlineStr">
        <is>
          <t>ESP32-S3-WROOM-1</t>
        </is>
      </c>
      <c r="I6" s="4" t="inlineStr">
        <is>
          <t>Extended</t>
        </is>
      </c>
      <c r="J6" s="4" t="inlineStr">
        <is>
          <t>Yes</t>
        </is>
      </c>
      <c r="K6" s="5" t="inlineStr">
        <is>
          <t>Standard PCBA tier only (module size)</t>
        </is>
      </c>
    </row>
    <row r="7">
      <c r="A7" s="6" t="n">
        <v>4</v>
      </c>
      <c r="B7" s="6" t="inlineStr">
        <is>
          <t>1 ICs &amp; module</t>
        </is>
      </c>
      <c r="C7" s="7" t="inlineStr">
        <is>
          <t>U4</t>
        </is>
      </c>
      <c r="D7" s="6" t="n">
        <v>1</v>
      </c>
      <c r="E7" s="6" t="inlineStr">
        <is>
          <t>BME280</t>
        </is>
      </c>
      <c r="F7" s="7" t="inlineStr">
        <is>
          <t>BME280</t>
        </is>
      </c>
      <c r="G7" s="6" t="inlineStr">
        <is>
          <t>C92489</t>
        </is>
      </c>
      <c r="H7" s="7" t="inlineStr">
        <is>
          <t>Bosch_LGA-8_2.5x2.5mm_P0.65mm_ClockwisePinNumbering</t>
        </is>
      </c>
      <c r="I7" s="6" t="inlineStr">
        <is>
          <t>Extended</t>
        </is>
      </c>
      <c r="J7" s="6" t="inlineStr">
        <is>
          <t>Yes</t>
        </is>
      </c>
      <c r="K7" s="7" t="inlineStr">
        <is>
          <t>0x76; keep vent clear, away from heat</t>
        </is>
      </c>
    </row>
    <row r="8">
      <c r="A8" s="4" t="n">
        <v>5</v>
      </c>
      <c r="B8" s="4" t="inlineStr">
        <is>
          <t>1 ICs &amp; module</t>
        </is>
      </c>
      <c r="C8" s="5" t="inlineStr">
        <is>
          <t>U5</t>
        </is>
      </c>
      <c r="D8" s="4" t="n">
        <v>1</v>
      </c>
      <c r="E8" s="4" t="inlineStr">
        <is>
          <t>VEML7700-TT</t>
        </is>
      </c>
      <c r="F8" s="5" t="inlineStr">
        <is>
          <t>VEML7700-TT</t>
        </is>
      </c>
      <c r="G8" s="4" t="inlineStr">
        <is>
          <t>C1850416</t>
        </is>
      </c>
      <c r="H8" s="5" t="inlineStr">
        <is>
          <t>SENSOR-SMD_EML7700-TT</t>
        </is>
      </c>
      <c r="I8" s="4" t="inlineStr">
        <is>
          <t>Extended</t>
        </is>
      </c>
      <c r="J8" s="4" t="inlineStr">
        <is>
          <t>Yes</t>
        </is>
      </c>
      <c r="K8" s="5" t="inlineStr">
        <is>
          <t>-TT = top-view window; 0x10</t>
        </is>
      </c>
    </row>
    <row r="9">
      <c r="A9" s="6" t="n">
        <v>6</v>
      </c>
      <c r="B9" s="6" t="inlineStr">
        <is>
          <t>1 ICs &amp; module</t>
        </is>
      </c>
      <c r="C9" s="7" t="inlineStr">
        <is>
          <t>U6</t>
        </is>
      </c>
      <c r="D9" s="6" t="n">
        <v>1</v>
      </c>
      <c r="E9" s="6" t="inlineStr">
        <is>
          <t>MCP73831-2-OT</t>
        </is>
      </c>
      <c r="F9" s="7" t="inlineStr">
        <is>
          <t>MCP73831T-2ACI/OT</t>
        </is>
      </c>
      <c r="G9" s="6" t="inlineStr">
        <is>
          <t>C424093</t>
        </is>
      </c>
      <c r="H9" s="7" t="inlineStr">
        <is>
          <t>SOT-23-5</t>
        </is>
      </c>
      <c r="I9" s="6" t="inlineStr">
        <is>
          <t>Extended</t>
        </is>
      </c>
      <c r="J9" s="6" t="inlineStr">
        <is>
          <t>Yes</t>
        </is>
      </c>
      <c r="K9" s="7" t="inlineStr">
        <is>
          <t>4.20 V variant; PROG 10k -&gt; ~100 mA</t>
        </is>
      </c>
    </row>
    <row r="10">
      <c r="A10" s="4" t="n">
        <v>7</v>
      </c>
      <c r="B10" s="4" t="inlineStr">
        <is>
          <t>2 Transistors</t>
        </is>
      </c>
      <c r="C10" s="5" t="inlineStr">
        <is>
          <t>Q1, Q2, Q3</t>
        </is>
      </c>
      <c r="D10" s="4" t="n">
        <v>3</v>
      </c>
      <c r="E10" s="4" t="inlineStr">
        <is>
          <t>AO3401A</t>
        </is>
      </c>
      <c r="F10" s="5" t="inlineStr">
        <is>
          <t>AO3401A</t>
        </is>
      </c>
      <c r="G10" s="4" t="inlineStr">
        <is>
          <t>C15127</t>
        </is>
      </c>
      <c r="H10" s="5" t="inlineStr">
        <is>
          <t>SOT-23</t>
        </is>
      </c>
      <c r="I10" s="4" t="inlineStr">
        <is>
          <t>Basic</t>
        </is>
      </c>
      <c r="J10" s="4" t="inlineStr">
        <is>
          <t>Yes</t>
        </is>
      </c>
      <c r="K10" s="5" t="inlineStr">
        <is>
          <t>Q1 soil switch / Q2 reverse guard / Q3 source select</t>
        </is>
      </c>
    </row>
    <row r="11">
      <c r="A11" s="6" t="n">
        <v>8</v>
      </c>
      <c r="B11" s="6" t="inlineStr">
        <is>
          <t>3 Diodes &amp; LEDs</t>
        </is>
      </c>
      <c r="C11" s="7" t="inlineStr">
        <is>
          <t>D1</t>
        </is>
      </c>
      <c r="D11" s="6" t="n">
        <v>1</v>
      </c>
      <c r="E11" s="6" t="inlineStr">
        <is>
          <t>SMF5.0A</t>
        </is>
      </c>
      <c r="F11" s="7" t="inlineStr">
        <is>
          <t>SMF5.0A</t>
        </is>
      </c>
      <c r="G11" s="6" t="inlineStr">
        <is>
          <t>C2980403</t>
        </is>
      </c>
      <c r="H11" s="7" t="inlineStr">
        <is>
          <t>D_SOD-123F</t>
        </is>
      </c>
      <c r="I11" s="6" t="inlineStr">
        <is>
          <t>Extended</t>
        </is>
      </c>
      <c r="J11" s="6" t="inlineStr">
        <is>
          <t>Yes</t>
        </is>
      </c>
      <c r="K11" s="7" t="inlineStr">
        <is>
          <t>TVS on USB_VBUS</t>
        </is>
      </c>
    </row>
    <row r="12">
      <c r="A12" s="4" t="n">
        <v>9</v>
      </c>
      <c r="B12" s="4" t="inlineStr">
        <is>
          <t>3 Diodes &amp; LEDs</t>
        </is>
      </c>
      <c r="C12" s="5" t="inlineStr">
        <is>
          <t>D2</t>
        </is>
      </c>
      <c r="D12" s="4" t="n">
        <v>1</v>
      </c>
      <c r="E12" s="4" t="inlineStr">
        <is>
          <t>LED_YG</t>
        </is>
      </c>
      <c r="F12" s="5" t="inlineStr">
        <is>
          <t>KT-0603YG</t>
        </is>
      </c>
      <c r="G12" s="4" t="inlineStr">
        <is>
          <t>C2289</t>
        </is>
      </c>
      <c r="H12" s="5" t="inlineStr">
        <is>
          <t>LED_0603_1608Metric</t>
        </is>
      </c>
      <c r="I12" s="4" t="inlineStr">
        <is>
          <t>Extended</t>
        </is>
      </c>
      <c r="J12" s="4" t="inlineStr">
        <is>
          <t>Yes</t>
        </is>
      </c>
      <c r="K12" s="5" t="inlineStr">
        <is>
          <t>Yellow-green Vf 2.0-2.2 V (correct chemistry for 3.3 V rail). 30-42 mcd -&gt; dim at 120 uA by design; bench-check. Went Extended 2026-07.</t>
        </is>
      </c>
    </row>
    <row r="13">
      <c r="A13" s="6" t="n">
        <v>10</v>
      </c>
      <c r="B13" s="6" t="inlineStr">
        <is>
          <t>3 Diodes &amp; LEDs</t>
        </is>
      </c>
      <c r="C13" s="7" t="inlineStr">
        <is>
          <t>D3</t>
        </is>
      </c>
      <c r="D13" s="6" t="n">
        <v>1</v>
      </c>
      <c r="E13" s="6" t="inlineStr">
        <is>
          <t>LED_RED</t>
        </is>
      </c>
      <c r="F13" s="7" t="inlineStr">
        <is>
          <t>KT-0603R</t>
        </is>
      </c>
      <c r="G13" s="6" t="inlineStr">
        <is>
          <t>C2286</t>
        </is>
      </c>
      <c r="H13" s="7" t="inlineStr">
        <is>
          <t>LED_0603_1608Metric</t>
        </is>
      </c>
      <c r="I13" s="6" t="inlineStr">
        <is>
          <t>Basic</t>
        </is>
      </c>
      <c r="J13" s="6" t="inlineStr">
        <is>
          <t>Yes</t>
        </is>
      </c>
      <c r="K13" s="7" t="inlineStr">
        <is>
          <t>Red, ~6 mA from STAT</t>
        </is>
      </c>
    </row>
    <row r="14">
      <c r="A14" s="4" t="n">
        <v>11</v>
      </c>
      <c r="B14" s="4" t="inlineStr">
        <is>
          <t>3 Diodes &amp; LEDs</t>
        </is>
      </c>
      <c r="C14" s="5" t="inlineStr">
        <is>
          <t>D4</t>
        </is>
      </c>
      <c r="D14" s="4" t="n">
        <v>1</v>
      </c>
      <c r="E14" s="4" t="inlineStr">
        <is>
          <t>SS14</t>
        </is>
      </c>
      <c r="F14" s="5" t="inlineStr">
        <is>
          <t>SS14</t>
        </is>
      </c>
      <c r="G14" s="4" t="inlineStr">
        <is>
          <t>C2480</t>
        </is>
      </c>
      <c r="H14" s="5" t="inlineStr">
        <is>
          <t>D_SMA</t>
        </is>
      </c>
      <c r="I14" s="4" t="inlineStr">
        <is>
          <t>Basic</t>
        </is>
      </c>
      <c r="J14" s="4" t="inlineStr">
        <is>
          <t>Yes</t>
        </is>
      </c>
      <c r="K14" s="5" t="inlineStr">
        <is>
          <t>Power-path Schottky</t>
        </is>
      </c>
    </row>
    <row r="15">
      <c r="A15" s="6" t="n">
        <v>12</v>
      </c>
      <c r="B15" s="6" t="inlineStr">
        <is>
          <t>4 Connectors &amp; electromech</t>
        </is>
      </c>
      <c r="C15" s="7" t="inlineStr">
        <is>
          <t>F1</t>
        </is>
      </c>
      <c r="D15" s="6" t="n">
        <v>1</v>
      </c>
      <c r="E15" s="6" t="inlineStr">
        <is>
          <t>1206L075/16WR</t>
        </is>
      </c>
      <c r="F15" s="7" t="inlineStr">
        <is>
          <t>1206L075/16WR</t>
        </is>
      </c>
      <c r="G15" s="6" t="inlineStr">
        <is>
          <t>C371166</t>
        </is>
      </c>
      <c r="H15" s="7" t="inlineStr">
        <is>
          <t>Fuse_1206_3216Metric</t>
        </is>
      </c>
      <c r="I15" s="6" t="inlineStr">
        <is>
          <t>Verify</t>
        </is>
      </c>
      <c r="J15" s="6" t="inlineStr">
        <is>
          <t>Yes</t>
        </is>
      </c>
      <c r="K15" s="7" t="inlineStr">
        <is>
          <t>0.75 A hold / 1.5 A trip / 16 V</t>
        </is>
      </c>
    </row>
    <row r="16">
      <c r="A16" s="4" t="n">
        <v>13</v>
      </c>
      <c r="B16" s="4" t="inlineStr">
        <is>
          <t>4 Connectors &amp; electromech</t>
        </is>
      </c>
      <c r="C16" s="5" t="inlineStr">
        <is>
          <t>J1</t>
        </is>
      </c>
      <c r="D16" s="4" t="n">
        <v>1</v>
      </c>
      <c r="E16" s="4" t="inlineStr">
        <is>
          <t>USB_C_Receptacle_USB2.0_16P</t>
        </is>
      </c>
      <c r="F16" s="5" t="inlineStr">
        <is>
          <t>TYPE-C-31-M-12</t>
        </is>
      </c>
      <c r="G16" s="4" t="inlineStr">
        <is>
          <t>C165948</t>
        </is>
      </c>
      <c r="H16" s="5" t="inlineStr">
        <is>
          <t>USB_C_Receptacle_HRO_TYPE-C-31-M-12</t>
        </is>
      </c>
      <c r="I16" s="4" t="inlineStr">
        <is>
          <t>Extended</t>
        </is>
      </c>
      <c r="J16" s="4" t="inlineStr">
        <is>
          <t>Yes</t>
        </is>
      </c>
      <c r="K16" s="5" t="inlineStr">
        <is>
          <t>KiCad ships exact footprint. Small handling fee.</t>
        </is>
      </c>
    </row>
    <row r="17">
      <c r="A17" s="6" t="n">
        <v>14</v>
      </c>
      <c r="B17" s="6" t="inlineStr">
        <is>
          <t>4 Connectors &amp; electromech</t>
        </is>
      </c>
      <c r="C17" s="7" t="inlineStr">
        <is>
          <t>J2</t>
        </is>
      </c>
      <c r="D17" s="6" t="n">
        <v>1</v>
      </c>
      <c r="E17" s="6" t="inlineStr">
        <is>
          <t>Conn_01x03</t>
        </is>
      </c>
      <c r="F17" s="7" t="inlineStr">
        <is>
          <t>S3B-PH-K-S(LF)(SN)</t>
        </is>
      </c>
      <c r="G17" s="6" t="inlineStr">
        <is>
          <t>C157929</t>
        </is>
      </c>
      <c r="H17" s="7" t="inlineStr">
        <is>
          <t>JST_PH_S3B-PH-K_1x03_P2.00mm_Horizontal</t>
        </is>
      </c>
      <c r="I17" s="6" t="inlineStr">
        <is>
          <t>Verify</t>
        </is>
      </c>
      <c r="J17" s="6" t="inlineStr">
        <is>
          <t>Yes</t>
        </is>
      </c>
      <c r="K17" s="7" t="inlineStr">
        <is>
          <t>Soil: pin1 sig / pin2 pwr / pin3 GND. Buzz out cable.</t>
        </is>
      </c>
    </row>
    <row r="18">
      <c r="A18" s="4" t="n">
        <v>15</v>
      </c>
      <c r="B18" s="4" t="inlineStr">
        <is>
          <t>4 Connectors &amp; electromech</t>
        </is>
      </c>
      <c r="C18" s="5" t="inlineStr">
        <is>
          <t>J3</t>
        </is>
      </c>
      <c r="D18" s="4" t="n">
        <v>1</v>
      </c>
      <c r="E18" s="4" t="inlineStr">
        <is>
          <t>Conn_01x02</t>
        </is>
      </c>
      <c r="F18" s="5" t="inlineStr">
        <is>
          <t>S2B-PH-K-S(LF)(SN)</t>
        </is>
      </c>
      <c r="G18" s="4" t="inlineStr">
        <is>
          <t>C173752</t>
        </is>
      </c>
      <c r="H18" s="5" t="inlineStr">
        <is>
          <t>JST_PH_S2B-PH-K_1x02_P2.00mm_Horizontal</t>
        </is>
      </c>
      <c r="I18" s="4" t="inlineStr">
        <is>
          <t>Verify</t>
        </is>
      </c>
      <c r="J18" s="4" t="inlineStr">
        <is>
          <t>Yes</t>
        </is>
      </c>
      <c r="K18" s="5" t="inlineStr">
        <is>
          <t>Battery: pin1 = +. METER PLUG POLARITY FIRST.</t>
        </is>
      </c>
    </row>
    <row r="19">
      <c r="A19" s="6" t="n">
        <v>16</v>
      </c>
      <c r="B19" s="6" t="inlineStr">
        <is>
          <t>4 Connectors &amp; electromech</t>
        </is>
      </c>
      <c r="C19" s="7" t="inlineStr">
        <is>
          <t>SW1, SW2</t>
        </is>
      </c>
      <c r="D19" s="6" t="n">
        <v>2</v>
      </c>
      <c r="E19" s="6" t="inlineStr">
        <is>
          <t>SW_Push</t>
        </is>
      </c>
      <c r="F19" s="7" t="inlineStr">
        <is>
          <t>TS-1187A-B-A-B</t>
        </is>
      </c>
      <c r="G19" s="6" t="inlineStr">
        <is>
          <t>C318884</t>
        </is>
      </c>
      <c r="H19" s="7" t="inlineStr">
        <is>
          <t>SW-SMD_4P-L5.1-W5.1-P3.70-LS6.5-TL_H1.5</t>
        </is>
      </c>
      <c r="I19" s="6" t="inlineStr">
        <is>
          <t>Basic</t>
        </is>
      </c>
      <c r="J19" s="6" t="inlineStr">
        <is>
          <t>Yes</t>
        </is>
      </c>
      <c r="K19" s="7" t="inlineStr">
        <is>
          <t>Project footprint, pads renumbered 1/1/2/2 (verified vs datasheet A-B/C-D pairing)</t>
        </is>
      </c>
    </row>
    <row r="20">
      <c r="A20" s="4" t="n">
        <v>17</v>
      </c>
      <c r="B20" s="4" t="inlineStr">
        <is>
          <t>5 Resistors 0603</t>
        </is>
      </c>
      <c r="C20" s="5" t="inlineStr">
        <is>
          <t>R1, R2</t>
        </is>
      </c>
      <c r="D20" s="4" t="n">
        <v>2</v>
      </c>
      <c r="E20" s="4" t="inlineStr">
        <is>
          <t>22</t>
        </is>
      </c>
      <c r="F20" s="5" t="inlineStr">
        <is>
          <t>0603WAF220JT5E</t>
        </is>
      </c>
      <c r="G20" s="4" t="inlineStr">
        <is>
          <t>C23345</t>
        </is>
      </c>
      <c r="H20" s="5" t="inlineStr">
        <is>
          <t>R_0603_1608Metric</t>
        </is>
      </c>
      <c r="I20" s="4" t="inlineStr">
        <is>
          <t>Basic</t>
        </is>
      </c>
      <c r="J20" s="4" t="inlineStr">
        <is>
          <t>Yes</t>
        </is>
      </c>
      <c r="K20" s="5" t="inlineStr">
        <is>
          <t>USB series</t>
        </is>
      </c>
    </row>
    <row r="21">
      <c r="A21" s="6" t="n">
        <v>18</v>
      </c>
      <c r="B21" s="6" t="inlineStr">
        <is>
          <t>5 Resistors 0603</t>
        </is>
      </c>
      <c r="C21" s="7" t="inlineStr">
        <is>
          <t>R10, R11</t>
        </is>
      </c>
      <c r="D21" s="6" t="n">
        <v>2</v>
      </c>
      <c r="E21" s="6" t="inlineStr">
        <is>
          <t>100k</t>
        </is>
      </c>
      <c r="F21" s="7" t="inlineStr">
        <is>
          <t>0603WAF1003T5E</t>
        </is>
      </c>
      <c r="G21" s="6" t="inlineStr">
        <is>
          <t>C25803</t>
        </is>
      </c>
      <c r="H21" s="7" t="inlineStr">
        <is>
          <t>R_0603_1608Metric</t>
        </is>
      </c>
      <c r="I21" s="6" t="inlineStr">
        <is>
          <t>Basic</t>
        </is>
      </c>
      <c r="J21" s="6" t="inlineStr">
        <is>
          <t>Yes</t>
        </is>
      </c>
      <c r="K21" s="7" t="inlineStr">
        <is>
          <t>All +-1%</t>
        </is>
      </c>
    </row>
    <row r="22">
      <c r="A22" s="4" t="n">
        <v>19</v>
      </c>
      <c r="B22" s="4" t="inlineStr">
        <is>
          <t>5 Resistors 0603</t>
        </is>
      </c>
      <c r="C22" s="5" t="inlineStr">
        <is>
          <t>R12</t>
        </is>
      </c>
      <c r="D22" s="4" t="n">
        <v>1</v>
      </c>
      <c r="E22" s="4" t="inlineStr">
        <is>
          <t>470</t>
        </is>
      </c>
      <c r="F22" s="5" t="inlineStr">
        <is>
          <t>0603WAF4700T5E</t>
        </is>
      </c>
      <c r="G22" s="4" t="inlineStr">
        <is>
          <t>C23179</t>
        </is>
      </c>
      <c r="H22" s="5" t="inlineStr">
        <is>
          <t>R_0603_1608Metric</t>
        </is>
      </c>
      <c r="I22" s="4" t="inlineStr">
        <is>
          <t>Basic</t>
        </is>
      </c>
      <c r="J22" s="4" t="inlineStr">
        <is>
          <t>Yes</t>
        </is>
      </c>
      <c r="K22" s="5" t="inlineStr">
        <is>
          <t>Charge-LED limit ~6 mA</t>
        </is>
      </c>
    </row>
    <row r="23">
      <c r="A23" s="6" t="n">
        <v>20</v>
      </c>
      <c r="B23" s="6" t="inlineStr">
        <is>
          <t>5 Resistors 0603</t>
        </is>
      </c>
      <c r="C23" s="7" t="inlineStr">
        <is>
          <t>R13, R16, R5, R6, R7</t>
        </is>
      </c>
      <c r="D23" s="6" t="n">
        <v>5</v>
      </c>
      <c r="E23" s="6" t="inlineStr">
        <is>
          <t>10k</t>
        </is>
      </c>
      <c r="F23" s="7" t="inlineStr">
        <is>
          <t>RC0603FR-0710KL</t>
        </is>
      </c>
      <c r="G23" s="6" t="inlineStr">
        <is>
          <t>C98220</t>
        </is>
      </c>
      <c r="H23" s="7" t="inlineStr">
        <is>
          <t>R_0603_1608Metric</t>
        </is>
      </c>
      <c r="I23" s="6" t="inlineStr">
        <is>
          <t>Extended</t>
        </is>
      </c>
      <c r="J23" s="6" t="inlineStr">
        <is>
          <t>Yes</t>
        </is>
      </c>
      <c r="K23" s="7" t="inlineStr">
        <is>
          <t>Stock was 0 on 2026-07-20 - re-check; alternate: YAGEO RC0603FR-0710KL = C98220 (Extended) | was C25804 (Uni-Royal, Basic) — JLC pre-order failed 2026-08-18, switched to Yageo C98220</t>
        </is>
      </c>
    </row>
    <row r="24">
      <c r="A24" s="4" t="n">
        <v>21</v>
      </c>
      <c r="B24" s="4" t="inlineStr">
        <is>
          <t>5 Resistors 0603</t>
        </is>
      </c>
      <c r="C24" s="5" t="inlineStr">
        <is>
          <t>R14, R15</t>
        </is>
      </c>
      <c r="D24" s="4" t="n">
        <v>2</v>
      </c>
      <c r="E24" s="4" t="inlineStr">
        <is>
          <t>100k 1%</t>
        </is>
      </c>
      <c r="F24" s="5" t="inlineStr">
        <is>
          <t>0603WAF1003T5E</t>
        </is>
      </c>
      <c r="G24" s="4" t="inlineStr">
        <is>
          <t>C25803</t>
        </is>
      </c>
      <c r="H24" s="5" t="inlineStr">
        <is>
          <t>R_0603_1608Metric</t>
        </is>
      </c>
      <c r="I24" s="4" t="inlineStr">
        <is>
          <t>Basic</t>
        </is>
      </c>
      <c r="J24" s="4" t="inlineStr">
        <is>
          <t>Yes</t>
        </is>
      </c>
      <c r="K24" s="5" t="inlineStr">
        <is>
          <t>All +-1%</t>
        </is>
      </c>
    </row>
    <row r="25">
      <c r="A25" s="6" t="n">
        <v>22</v>
      </c>
      <c r="B25" s="6" t="inlineStr">
        <is>
          <t>5 Resistors 0603</t>
        </is>
      </c>
      <c r="C25" s="7" t="inlineStr">
        <is>
          <t>R3, R4</t>
        </is>
      </c>
      <c r="D25" s="6" t="n">
        <v>2</v>
      </c>
      <c r="E25" s="6" t="inlineStr">
        <is>
          <t>5.1k</t>
        </is>
      </c>
      <c r="F25" s="7" t="inlineStr">
        <is>
          <t>0603WAF5101T5E</t>
        </is>
      </c>
      <c r="G25" s="6" t="inlineStr">
        <is>
          <t>C23186</t>
        </is>
      </c>
      <c r="H25" s="7" t="inlineStr">
        <is>
          <t>R_0603_1608Metric</t>
        </is>
      </c>
      <c r="I25" s="6" t="inlineStr">
        <is>
          <t>Basic</t>
        </is>
      </c>
      <c r="J25" s="6" t="inlineStr">
        <is>
          <t>Yes</t>
        </is>
      </c>
      <c r="K25" s="7" t="inlineStr">
        <is>
          <t>CC pull-downs, one per pin</t>
        </is>
      </c>
    </row>
    <row r="26">
      <c r="A26" s="4" t="n">
        <v>23</v>
      </c>
      <c r="B26" s="4" t="inlineStr">
        <is>
          <t>5 Resistors 0603</t>
        </is>
      </c>
      <c r="C26" s="5" t="inlineStr">
        <is>
          <t>R8, R9</t>
        </is>
      </c>
      <c r="D26" s="4" t="n">
        <v>2</v>
      </c>
      <c r="E26" s="4" t="inlineStr">
        <is>
          <t>4.7k</t>
        </is>
      </c>
      <c r="F26" s="5" t="inlineStr">
        <is>
          <t>0603WAF4701T5E</t>
        </is>
      </c>
      <c r="G26" s="4" t="inlineStr">
        <is>
          <t>C23162</t>
        </is>
      </c>
      <c r="H26" s="5" t="inlineStr">
        <is>
          <t>R_0603_1608Metric</t>
        </is>
      </c>
      <c r="I26" s="4" t="inlineStr">
        <is>
          <t>Basic</t>
        </is>
      </c>
      <c r="J26" s="4" t="inlineStr">
        <is>
          <t>Yes</t>
        </is>
      </c>
      <c r="K26" s="5" t="inlineStr">
        <is>
          <t>I2C pull-ups</t>
        </is>
      </c>
    </row>
    <row r="27">
      <c r="A27" s="6" t="n">
        <v>24</v>
      </c>
      <c r="B27" s="6" t="inlineStr">
        <is>
          <t>6 Capacitors</t>
        </is>
      </c>
      <c r="C27" s="7" t="inlineStr">
        <is>
          <t>C1, C10, C11, C12, C13, C14, C17</t>
        </is>
      </c>
      <c r="D27" s="6" t="n">
        <v>7</v>
      </c>
      <c r="E27" s="6" t="inlineStr">
        <is>
          <t>100nF</t>
        </is>
      </c>
      <c r="F27" s="7" t="inlineStr">
        <is>
          <t>CC0603KRX7R9BB104</t>
        </is>
      </c>
      <c r="G27" s="6" t="inlineStr">
        <is>
          <t>C14663</t>
        </is>
      </c>
      <c r="H27" s="7" t="inlineStr">
        <is>
          <t>C_0603_1608Metric</t>
        </is>
      </c>
      <c r="I27" s="6" t="inlineStr">
        <is>
          <t>Basic</t>
        </is>
      </c>
      <c r="J27" s="6" t="inlineStr">
        <is>
          <t>Yes</t>
        </is>
      </c>
      <c r="K27" s="7" t="inlineStr"/>
    </row>
    <row r="28">
      <c r="A28" s="4" t="n">
        <v>25</v>
      </c>
      <c r="B28" s="4" t="inlineStr">
        <is>
          <t>6 Capacitors</t>
        </is>
      </c>
      <c r="C28" s="5" t="inlineStr">
        <is>
          <t>C15, C16</t>
        </is>
      </c>
      <c r="D28" s="4" t="n">
        <v>2</v>
      </c>
      <c r="E28" s="4" t="inlineStr">
        <is>
          <t>4.7uF</t>
        </is>
      </c>
      <c r="F28" s="5" t="inlineStr">
        <is>
          <t>CL10A475KO8NNNC</t>
        </is>
      </c>
      <c r="G28" s="4" t="inlineStr">
        <is>
          <t>C19666</t>
        </is>
      </c>
      <c r="H28" s="5" t="inlineStr">
        <is>
          <t>C_0603_1608Metric</t>
        </is>
      </c>
      <c r="I28" s="4" t="inlineStr">
        <is>
          <t>Basic</t>
        </is>
      </c>
      <c r="J28" s="4" t="inlineStr">
        <is>
          <t>Yes</t>
        </is>
      </c>
      <c r="K28" s="5" t="inlineStr">
        <is>
          <t>16 V X5R — charger in/out</t>
        </is>
      </c>
    </row>
    <row r="29">
      <c r="A29" s="6" t="n">
        <v>26</v>
      </c>
      <c r="B29" s="6" t="inlineStr">
        <is>
          <t>6 Capacitors</t>
        </is>
      </c>
      <c r="C29" s="7" t="inlineStr">
        <is>
          <t>C18, C6, C7, C8</t>
        </is>
      </c>
      <c r="D29" s="6" t="n">
        <v>4</v>
      </c>
      <c r="E29" s="6" t="inlineStr">
        <is>
          <t>1uF</t>
        </is>
      </c>
      <c r="F29" s="7" t="inlineStr">
        <is>
          <t>CL10A105KB8NNNC</t>
        </is>
      </c>
      <c r="G29" s="6" t="inlineStr">
        <is>
          <t>C15849</t>
        </is>
      </c>
      <c r="H29" s="7" t="inlineStr">
        <is>
          <t>C_0603_1608Metric</t>
        </is>
      </c>
      <c r="I29" s="6" t="inlineStr">
        <is>
          <t>Basic</t>
        </is>
      </c>
      <c r="J29" s="6" t="inlineStr">
        <is>
          <t>Yes</t>
        </is>
      </c>
      <c r="K29" s="7" t="inlineStr">
        <is>
          <t>50 V X5R</t>
        </is>
      </c>
    </row>
    <row r="30">
      <c r="A30" s="4" t="n">
        <v>27</v>
      </c>
      <c r="B30" s="4" t="inlineStr">
        <is>
          <t>6 Capacitors</t>
        </is>
      </c>
      <c r="C30" s="5" t="inlineStr">
        <is>
          <t>C2, C5</t>
        </is>
      </c>
      <c r="D30" s="4" t="n">
        <v>2</v>
      </c>
      <c r="E30" s="4" t="inlineStr">
        <is>
          <t>10uF</t>
        </is>
      </c>
      <c r="F30" s="5" t="inlineStr">
        <is>
          <t>CL21A106KAYNNNE</t>
        </is>
      </c>
      <c r="G30" s="4" t="inlineStr">
        <is>
          <t>C15850</t>
        </is>
      </c>
      <c r="H30" s="5" t="inlineStr">
        <is>
          <t>C_0805_2012Metric</t>
        </is>
      </c>
      <c r="I30" s="4" t="inlineStr">
        <is>
          <t>Basic</t>
        </is>
      </c>
      <c r="J30" s="4" t="inlineStr">
        <is>
          <t>Yes</t>
        </is>
      </c>
      <c r="K30" s="5" t="inlineStr">
        <is>
          <t>25 V X5R — 5 V-rail &amp; VSYS bulk (alt: Murata C440198)</t>
        </is>
      </c>
    </row>
    <row r="31">
      <c r="A31" s="8" t="n">
        <v>28</v>
      </c>
      <c r="B31" s="8" t="inlineStr">
        <is>
          <t>6 Capacitors</t>
        </is>
      </c>
      <c r="C31" s="9" t="inlineStr">
        <is>
          <t>C3, C4</t>
        </is>
      </c>
      <c r="D31" s="8" t="n">
        <v>2</v>
      </c>
      <c r="E31" s="8" t="inlineStr">
        <is>
          <t>100nF</t>
        </is>
      </c>
      <c r="F31" s="9" t="inlineStr">
        <is>
          <t>CC0603KRX7R9BB104</t>
        </is>
      </c>
      <c r="G31" s="8" t="inlineStr">
        <is>
          <t>C14663</t>
        </is>
      </c>
      <c r="H31" s="9" t="inlineStr">
        <is>
          <t>C_0603_1608Metric</t>
        </is>
      </c>
      <c r="I31" s="8" t="inlineStr">
        <is>
          <t>Basic</t>
        </is>
      </c>
      <c r="J31" s="8" t="inlineStr">
        <is>
          <t>No (DNP)</t>
        </is>
      </c>
      <c r="K31" s="9" t="inlineStr">
        <is>
          <t>DNP - footprint only, not assembled.</t>
        </is>
      </c>
    </row>
    <row r="32">
      <c r="A32" s="4" t="n">
        <v>29</v>
      </c>
      <c r="B32" s="4" t="inlineStr">
        <is>
          <t>6 Capacitors</t>
        </is>
      </c>
      <c r="C32" s="5" t="inlineStr">
        <is>
          <t>C9</t>
        </is>
      </c>
      <c r="D32" s="4" t="n">
        <v>1</v>
      </c>
      <c r="E32" s="4" t="inlineStr">
        <is>
          <t>22uF</t>
        </is>
      </c>
      <c r="F32" s="5" t="inlineStr">
        <is>
          <t>CL21A226MAQNNNE</t>
        </is>
      </c>
      <c r="G32" s="4" t="inlineStr">
        <is>
          <t>C45783</t>
        </is>
      </c>
      <c r="H32" s="5" t="inlineStr">
        <is>
          <t>C_0805_2012Metric</t>
        </is>
      </c>
      <c r="I32" s="4" t="inlineStr">
        <is>
          <t>Basic</t>
        </is>
      </c>
      <c r="J32" s="4" t="inlineStr">
        <is>
          <t>Yes</t>
        </is>
      </c>
      <c r="K32" s="5" t="inlineStr">
        <is>
          <t>25 V X5R — module bulk</t>
        </is>
      </c>
    </row>
    <row r="33"/>
    <row r="34">
      <c r="B34" s="10" t="inlineStr">
        <is>
          <t>Summary</t>
        </is>
      </c>
    </row>
    <row r="35">
      <c r="B35" s="11" t="inlineStr">
        <is>
          <t>BOM lines</t>
        </is>
      </c>
      <c r="D35" s="12">
        <f>COUNTA(C4:C32)</f>
        <v/>
      </c>
    </row>
    <row r="36">
      <c r="B36" s="11" t="inlineStr">
        <is>
          <t>Placed by assembler</t>
        </is>
      </c>
      <c r="D36" s="12">
        <f>SUMIF(J4:J32,"Yes",D4:D32)</f>
        <v/>
      </c>
    </row>
    <row r="37">
      <c r="B37" s="11" t="inlineStr">
        <is>
          <t>DNP placements</t>
        </is>
      </c>
      <c r="D37" s="12">
        <f>SUMIF(J4:J32,"No (DNP)",D4:D32)</f>
        <v/>
      </c>
    </row>
    <row r="38">
      <c r="B38" s="11" t="inlineStr">
        <is>
          <t>Total footprints</t>
        </is>
      </c>
      <c r="D38" s="12">
        <f>SUM(D4:D32)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9" customWidth="1" min="3" max="3"/>
    <col width="20" customWidth="1" min="4" max="4"/>
    <col width="62" customWidth="1" min="5" max="5"/>
  </cols>
  <sheetData>
    <row r="1">
      <c r="A1" s="13" t="inlineStr">
        <is>
          <t>Not assembled by JLCPCB — buy and attach yourself</t>
        </is>
      </c>
    </row>
    <row r="2">
      <c r="A2" s="3" t="inlineStr">
        <is>
          <t>Item</t>
        </is>
      </c>
      <c r="B2" s="3" t="inlineStr">
        <is>
          <t>Spec</t>
        </is>
      </c>
      <c r="C2" s="3" t="inlineStr">
        <is>
          <t>Plugs into</t>
        </is>
      </c>
      <c r="D2" s="3" t="inlineStr">
        <is>
          <t>Where</t>
        </is>
      </c>
      <c r="E2" s="3" t="inlineStr">
        <is>
          <t>Notes</t>
        </is>
      </c>
    </row>
    <row r="3" ht="42" customHeight="1">
      <c r="A3" s="5" t="inlineStr">
        <is>
          <t>DFRobot SEN0193 soil probe</t>
        </is>
      </c>
      <c r="B3" s="5" t="inlineStr">
        <is>
          <t>3.3-5.5 V, out 0-3.0 V (~2.2 V max @3.3 V), ~5 mA</t>
        </is>
      </c>
      <c r="C3" s="5" t="inlineStr">
        <is>
          <t>J2</t>
        </is>
      </c>
      <c r="D3" s="5" t="inlineStr">
        <is>
          <t>DigiKey/DFRobot/Amazon</t>
        </is>
      </c>
      <c r="E3" s="5" t="inlineStr">
        <is>
          <t>Buzz out cable order first. Calibration (direct chain): wet ~1465 / dry ~2900 raw.</t>
        </is>
      </c>
    </row>
    <row r="4" ht="42" customHeight="1">
      <c r="A4" s="5" t="inlineStr">
        <is>
          <t>1S protected LiPo</t>
        </is>
      </c>
      <c r="B4" s="5" t="inlineStr">
        <is>
          <t>3.7 V, JST-PH; bench cell: PKCell LP503035 500 mAh</t>
        </is>
      </c>
      <c r="C4" s="5" t="inlineStr">
        <is>
          <t>J3</t>
        </is>
      </c>
      <c r="D4" s="5" t="inlineStr">
        <is>
          <t>Battery retailer</t>
        </is>
      </c>
      <c r="E4" s="5" t="inlineStr">
        <is>
          <t>PCM required. METER PLUG POLARITY BEFORE FIRST CONNECT - charge LED does NOT prove polarity. Never store with battery attached.</t>
        </is>
      </c>
    </row>
    <row r="5" ht="42" customHeight="1">
      <c r="A5" s="5" t="inlineStr">
        <is>
          <t>PH-to-PH 3-pin cable (if needed)</t>
        </is>
      </c>
      <c r="B5" s="5" t="inlineStr">
        <is>
          <t>JST PH 2.0</t>
        </is>
      </c>
      <c r="C5" s="5" t="inlineStr">
        <is>
          <t>J2</t>
        </is>
      </c>
      <c r="D5" s="5" t="inlineStr">
        <is>
          <t>~$1 generic</t>
        </is>
      </c>
      <c r="E5" s="5" t="inlineStr">
        <is>
          <t>Only if probe cable ends DuPont-style.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2026-07-22T14:44:03Z</dcterms:created>
  <dcterms:modified xmlns:dcterms="http://purl.org/dc/terms/" xmlns:xsi="http://www.w3.org/2001/XMLSchema-instance" xsi:type="dcterms:W3CDTF">2026-08-18T10:36:19Z</dcterms:modified>
</cp:coreProperties>
</file>