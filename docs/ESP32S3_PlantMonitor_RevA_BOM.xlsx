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Bought separatel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F2F9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DF2F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center" vertical="top"/>
    </xf>
    <xf numFmtId="0" fontId="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center" vertical="top"/>
    </xf>
    <xf numFmtId="0" fontId="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EDF2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" customWidth="1" style="17" min="1" max="1"/>
    <col width="16" customWidth="1" style="17" min="2" max="2"/>
    <col width="26" customWidth="1" style="17" min="3" max="3"/>
    <col width="6" customWidth="1" style="17" min="4" max="4"/>
    <col width="20" customWidth="1" style="17" min="5" max="5"/>
    <col width="24" customWidth="1" style="17" min="6" max="6"/>
    <col width="11" customWidth="1" style="17" min="7" max="7"/>
    <col width="14" customWidth="1" style="17" min="8" max="8"/>
    <col width="9" customWidth="1" style="17" min="9" max="9"/>
    <col width="10" customWidth="1" style="17" min="10" max="10"/>
    <col width="72" customWidth="1" style="17" min="11" max="11"/>
  </cols>
  <sheetData>
    <row r="1" ht="17.35" customHeight="1" s="18">
      <c r="A1" s="19" t="inlineStr">
        <is>
          <t>ESP32-S3 Plant Monitor — Rev A — Bill of Materials</t>
        </is>
      </c>
    </row>
    <row r="2" ht="39.75" customHeight="1" s="18">
      <c r="A2" s="20" t="inlineStr">
        <is>
          <t>Regenerated 2026-07-20 from the SAVED KiCad schematic (post design review) — designators match the schematic, not the design doc. JLCPCB C-numbers are the definitive part IDs (jlcpcb.com/parts). 'at upload' = pick a Basic-library catalog number when uploading. Re-verify stock and Basic/Extended status at order time.</t>
        </is>
      </c>
    </row>
    <row r="3" ht="15" customHeight="1" s="18">
      <c r="A3" s="21" t="inlineStr">
        <is>
          <t>#</t>
        </is>
      </c>
      <c r="B3" s="21" t="inlineStr">
        <is>
          <t>Category</t>
        </is>
      </c>
      <c r="C3" s="21" t="inlineStr">
        <is>
          <t>Designator(s)</t>
        </is>
      </c>
      <c r="D3" s="21" t="inlineStr">
        <is>
          <t>Qty</t>
        </is>
      </c>
      <c r="E3" s="21" t="inlineStr">
        <is>
          <t>Value / Rating</t>
        </is>
      </c>
      <c r="F3" s="21" t="inlineStr">
        <is>
          <t>Part / MPN</t>
        </is>
      </c>
      <c r="G3" s="21" t="inlineStr">
        <is>
          <t>JLCPCB #</t>
        </is>
      </c>
      <c r="H3" s="21" t="inlineStr">
        <is>
          <t>Package</t>
        </is>
      </c>
      <c r="I3" s="21" t="inlineStr">
        <is>
          <t>Library</t>
        </is>
      </c>
      <c r="J3" s="21" t="inlineStr">
        <is>
          <t>Populate</t>
        </is>
      </c>
      <c r="K3" s="21" t="inlineStr">
        <is>
          <t>Function / Notes</t>
        </is>
      </c>
    </row>
    <row r="4" ht="23.85" customHeight="1" s="18">
      <c r="A4" s="22" t="n">
        <v>1</v>
      </c>
      <c r="B4" s="23" t="inlineStr">
        <is>
          <t>Modules &amp; ICs</t>
        </is>
      </c>
      <c r="C4" s="23" t="inlineStr">
        <is>
          <t>U3</t>
        </is>
      </c>
      <c r="D4" s="22" t="n">
        <v>1</v>
      </c>
      <c r="E4" s="23" t="inlineStr">
        <is>
          <t>3.3 V, 8 MB flash, no PSRAM</t>
        </is>
      </c>
      <c r="F4" s="23" t="inlineStr">
        <is>
          <t>ESP32-S3-WROOM-1-N8</t>
        </is>
      </c>
      <c r="G4" s="22" t="inlineStr">
        <is>
          <t>C2913198</t>
        </is>
      </c>
      <c r="H4" s="22" t="inlineStr">
        <is>
          <t>Module (SMD)</t>
        </is>
      </c>
      <c r="I4" s="22" t="inlineStr">
        <is>
          <t>Extended</t>
        </is>
      </c>
      <c r="J4" s="22" t="inlineStr">
        <is>
          <t>Yes</t>
        </is>
      </c>
      <c r="K4" s="23" t="inlineStr">
        <is>
          <t>The brain: dual-core MCU, Wi-Fi/BT, antenna, pre-certified. IO35-37 unused (free on N8).</t>
        </is>
      </c>
    </row>
    <row r="5" ht="15" customHeight="1" s="18">
      <c r="A5" s="24" t="n">
        <v>2</v>
      </c>
      <c r="B5" s="25" t="inlineStr">
        <is>
          <t>Modules &amp; ICs</t>
        </is>
      </c>
      <c r="C5" s="25" t="inlineStr">
        <is>
          <t>U1</t>
        </is>
      </c>
      <c r="D5" s="24" t="n">
        <v>1</v>
      </c>
      <c r="E5" s="25" t="inlineStr">
        <is>
          <t>USB ESD array</t>
        </is>
      </c>
      <c r="F5" s="25" t="inlineStr">
        <is>
          <t>USBLC6-2SC6 (ST)</t>
        </is>
      </c>
      <c r="G5" s="24" t="inlineStr">
        <is>
          <t>C7519</t>
        </is>
      </c>
      <c r="H5" s="24" t="inlineStr">
        <is>
          <t>SOT-23-6</t>
        </is>
      </c>
      <c r="I5" s="24" t="inlineStr">
        <is>
          <t>Extended</t>
        </is>
      </c>
      <c r="J5" s="24" t="inlineStr">
        <is>
          <t>Yes</t>
        </is>
      </c>
      <c r="K5" s="25" t="inlineStr">
        <is>
          <t>Clamps static zaps on USB D+/D-; flow-through wiring (pins 1/3 in, 6/4 out).</t>
        </is>
      </c>
    </row>
    <row r="6" ht="15" customHeight="1" s="18">
      <c r="A6" s="22" t="n">
        <v>3</v>
      </c>
      <c r="B6" s="23" t="inlineStr">
        <is>
          <t>Modules &amp; ICs</t>
        </is>
      </c>
      <c r="C6" s="23" t="inlineStr">
        <is>
          <t>U2</t>
        </is>
      </c>
      <c r="D6" s="22" t="n">
        <v>1</v>
      </c>
      <c r="E6" s="23" t="inlineStr">
        <is>
          <t>3.3 V, 600 mA LDO</t>
        </is>
      </c>
      <c r="F6" s="23" t="inlineStr">
        <is>
          <t>AP2112K-3.3TRG1</t>
        </is>
      </c>
      <c r="G6" s="22" t="inlineStr">
        <is>
          <t>C51118</t>
        </is>
      </c>
      <c r="H6" s="22" t="inlineStr">
        <is>
          <t>SOT-23-5</t>
        </is>
      </c>
      <c r="I6" s="22" t="inlineStr">
        <is>
          <t>Extended</t>
        </is>
      </c>
      <c r="J6" s="22" t="inlineStr">
        <is>
          <t>Yes</t>
        </is>
      </c>
      <c r="K6" s="23" t="inlineStr">
        <is>
          <t>Makes +3V3 from VSYS. EN tied to VIN (always on).</t>
        </is>
      </c>
    </row>
    <row r="7" ht="23.85" customHeight="1" s="18">
      <c r="A7" s="24" t="n">
        <v>4</v>
      </c>
      <c r="B7" s="25" t="inlineStr">
        <is>
          <t>Modules &amp; ICs</t>
        </is>
      </c>
      <c r="C7" s="25" t="inlineStr">
        <is>
          <t>U6</t>
        </is>
      </c>
      <c r="D7" s="24" t="n">
        <v>1</v>
      </c>
      <c r="E7" s="25" t="inlineStr">
        <is>
          <t>4.20 V, ~100 mA</t>
        </is>
      </c>
      <c r="F7" s="25" t="inlineStr">
        <is>
          <t>MCP73831T-2ACI/OT</t>
        </is>
      </c>
      <c r="G7" s="24" t="inlineStr">
        <is>
          <t>C424093</t>
        </is>
      </c>
      <c r="H7" s="24" t="inlineStr">
        <is>
          <t>SOT-23-5</t>
        </is>
      </c>
      <c r="I7" s="24" t="inlineStr">
        <is>
          <t>Extended</t>
        </is>
      </c>
      <c r="J7" s="24" t="inlineStr">
        <is>
          <t>Yes</t>
        </is>
      </c>
      <c r="K7" s="25" t="inlineStr">
        <is>
          <t>1-cell LiPo linear charger; -2 = 4.20 V variant (matches protected pack). Charge current set by R13.</t>
        </is>
      </c>
    </row>
    <row r="8" ht="23.85" customHeight="1" s="18">
      <c r="A8" s="22" t="n">
        <v>5</v>
      </c>
      <c r="B8" s="23" t="inlineStr">
        <is>
          <t>Modules &amp; ICs</t>
        </is>
      </c>
      <c r="C8" s="23" t="inlineStr">
        <is>
          <t>U4</t>
        </is>
      </c>
      <c r="D8" s="22" t="n">
        <v>1</v>
      </c>
      <c r="E8" s="23" t="inlineStr">
        <is>
          <t>I2C 0x76</t>
        </is>
      </c>
      <c r="F8" s="23" t="inlineStr">
        <is>
          <t>BME280 (Bosch)</t>
        </is>
      </c>
      <c r="G8" s="22" t="inlineStr">
        <is>
          <t>C92489</t>
        </is>
      </c>
      <c r="H8" s="22" t="inlineStr">
        <is>
          <t>LGA-8</t>
        </is>
      </c>
      <c r="I8" s="22" t="inlineStr">
        <is>
          <t>Extended</t>
        </is>
      </c>
      <c r="J8" s="22" t="inlineStr">
        <is>
          <t>Yes</t>
        </is>
      </c>
      <c r="K8" s="23" t="inlineStr">
        <is>
          <t>Temp/RH/pressure. SDO-&gt;GND = 0x76; CSB-&gt;3V3 = I2C mode. Keep lid vent clear; away from heat.</t>
        </is>
      </c>
    </row>
    <row r="9" ht="15" customHeight="1" s="18">
      <c r="A9" s="24" t="n">
        <v>6</v>
      </c>
      <c r="B9" s="25" t="inlineStr">
        <is>
          <t>Modules &amp; ICs</t>
        </is>
      </c>
      <c r="C9" s="25" t="inlineStr">
        <is>
          <t>U5</t>
        </is>
      </c>
      <c r="D9" s="24" t="n">
        <v>1</v>
      </c>
      <c r="E9" s="25" t="inlineStr">
        <is>
          <t>I2C 0x10</t>
        </is>
      </c>
      <c r="F9" s="25" t="inlineStr">
        <is>
          <t>VEML7700-TT (Vishay)</t>
        </is>
      </c>
      <c r="G9" s="24" t="inlineStr">
        <is>
          <t>C1850416</t>
        </is>
      </c>
      <c r="H9" s="24" t="inlineStr">
        <is>
          <t>OPLGA (top-view)</t>
        </is>
      </c>
      <c r="I9" s="24" t="inlineStr">
        <is>
          <t>Extended</t>
        </is>
      </c>
      <c r="J9" s="24" t="inlineStr">
        <is>
          <t>Yes</t>
        </is>
      </c>
      <c r="K9" s="25" t="inlineStr">
        <is>
          <t>Ambient light, fixed address 0x10. Window faces up; keep clear of on-board LEDs.</t>
        </is>
      </c>
    </row>
    <row r="10" ht="23.85" customHeight="1" s="18">
      <c r="A10" s="22" t="n">
        <v>7</v>
      </c>
      <c r="B10" s="23" t="inlineStr">
        <is>
          <t>Discrete semis</t>
        </is>
      </c>
      <c r="C10" s="23" t="inlineStr">
        <is>
          <t>Q1, Q2, Q3</t>
        </is>
      </c>
      <c r="D10" s="22" t="n">
        <v>3</v>
      </c>
      <c r="E10" s="23" t="inlineStr">
        <is>
          <t>P-ch MOSFET, -30 V</t>
        </is>
      </c>
      <c r="F10" s="23" t="inlineStr">
        <is>
          <t>AO3401A</t>
        </is>
      </c>
      <c r="G10" s="22" t="inlineStr">
        <is>
          <t>C15127</t>
        </is>
      </c>
      <c r="H10" s="22" t="inlineStr">
        <is>
          <t>SOT-23-3</t>
        </is>
      </c>
      <c r="I10" s="22" t="inlineStr">
        <is>
          <t>Basic</t>
        </is>
      </c>
      <c r="J10" s="22" t="inlineStr">
        <is>
          <t>Yes</t>
        </is>
      </c>
      <c r="K10" s="23" t="inlineStr">
        <is>
          <t>Q1 = soil-probe high-side switch, Q2 = battery reverse-polarity guard, Q3 = USB/battery source select. (Roles per SCHEMATIC refs; design doc numbering differs.)</t>
        </is>
      </c>
    </row>
    <row r="11" ht="23.85" customHeight="1" s="18">
      <c r="A11" s="24" t="n">
        <v>8</v>
      </c>
      <c r="B11" s="25" t="inlineStr">
        <is>
          <t>Discrete semis</t>
        </is>
      </c>
      <c r="C11" s="25" t="inlineStr">
        <is>
          <t>D2</t>
        </is>
      </c>
      <c r="D11" s="24" t="n">
        <v>1</v>
      </c>
      <c r="E11" s="25" t="inlineStr">
        <is>
          <t>Green</t>
        </is>
      </c>
      <c r="F11" s="25" t="inlineStr">
        <is>
          <t>LED 0603 (Basic pick)</t>
        </is>
      </c>
      <c r="G11" s="24" t="inlineStr">
        <is>
          <t>at upload</t>
        </is>
      </c>
      <c r="H11" s="24" t="inlineStr">
        <is>
          <t>0603</t>
        </is>
      </c>
      <c r="I11" s="24" t="inlineStr">
        <is>
          <t>Basic</t>
        </is>
      </c>
      <c r="J11" s="24" t="inlineStr">
        <is>
          <t>Yes</t>
        </is>
      </c>
      <c r="K11" s="25" t="inlineStr">
        <is>
          <t>Power indicator on +3V3 via R5 10 k (~120 uA: deliberately dim, low standby drain). DNP on battery-life test units.</t>
        </is>
      </c>
    </row>
    <row r="12" ht="23.85" customHeight="1" s="18">
      <c r="A12" s="22" t="n">
        <v>9</v>
      </c>
      <c r="B12" s="23" t="inlineStr">
        <is>
          <t>Discrete semis</t>
        </is>
      </c>
      <c r="C12" s="23" t="inlineStr">
        <is>
          <t>D3</t>
        </is>
      </c>
      <c r="D12" s="22" t="n">
        <v>1</v>
      </c>
      <c r="E12" s="23" t="inlineStr">
        <is>
          <t>Amber / Red</t>
        </is>
      </c>
      <c r="F12" s="23" t="inlineStr">
        <is>
          <t>LED 0603 (Basic pick)</t>
        </is>
      </c>
      <c r="G12" s="22" t="inlineStr">
        <is>
          <t>at upload</t>
        </is>
      </c>
      <c r="H12" s="22" t="inlineStr">
        <is>
          <t>0603</t>
        </is>
      </c>
      <c r="I12" s="22" t="inlineStr">
        <is>
          <t>Basic</t>
        </is>
      </c>
      <c r="J12" s="22" t="inlineStr">
        <is>
          <t>Yes</t>
        </is>
      </c>
      <c r="K12" s="23" t="inlineStr">
        <is>
          <t>Charge indicator from +5V_PROT via R12 470 R into charger STAT (~6 mA). Flickers faintly with no battery - expected.</t>
        </is>
      </c>
    </row>
    <row r="13" ht="23.85" customHeight="1" s="18">
      <c r="A13" s="24" t="n">
        <v>10</v>
      </c>
      <c r="B13" s="25" t="inlineStr">
        <is>
          <t>Discrete semis</t>
        </is>
      </c>
      <c r="C13" s="25" t="inlineStr">
        <is>
          <t>D1</t>
        </is>
      </c>
      <c r="D13" s="24" t="n">
        <v>1</v>
      </c>
      <c r="E13" s="25" t="inlineStr">
        <is>
          <t>5 V standoff TVS</t>
        </is>
      </c>
      <c r="F13" s="25" t="inlineStr">
        <is>
          <t>SMF5.0A</t>
        </is>
      </c>
      <c r="G13" s="24" t="inlineStr">
        <is>
          <t>C2980403</t>
        </is>
      </c>
      <c r="H13" s="24" t="inlineStr">
        <is>
          <t>SOD-123FL</t>
        </is>
      </c>
      <c r="I13" s="24" t="inlineStr">
        <is>
          <t>Extended</t>
        </is>
      </c>
      <c r="J13" s="24" t="inlineStr">
        <is>
          <t>Yes</t>
        </is>
      </c>
      <c r="K13" s="25" t="inlineStr">
        <is>
          <t>Clamps surges on USB_VBUS at the connector (schematic value field still generic 'D_Zener' - update).</t>
        </is>
      </c>
    </row>
    <row r="14" ht="15" customHeight="1" s="18">
      <c r="A14" s="22" t="n">
        <v>11</v>
      </c>
      <c r="B14" s="23" t="inlineStr">
        <is>
          <t>Discrete semis</t>
        </is>
      </c>
      <c r="C14" s="23" t="inlineStr">
        <is>
          <t>D4</t>
        </is>
      </c>
      <c r="D14" s="22" t="n">
        <v>1</v>
      </c>
      <c r="E14" s="23" t="inlineStr">
        <is>
          <t>1 A / 40 V Schottky</t>
        </is>
      </c>
      <c r="F14" s="23" t="inlineStr">
        <is>
          <t>SS14</t>
        </is>
      </c>
      <c r="G14" s="22" t="inlineStr">
        <is>
          <t>C2480</t>
        </is>
      </c>
      <c r="H14" s="22" t="inlineStr">
        <is>
          <t>SMA (DO-214AC)</t>
        </is>
      </c>
      <c r="I14" s="22" t="inlineStr">
        <is>
          <t>Basic</t>
        </is>
      </c>
      <c r="J14" s="22" t="inlineStr">
        <is>
          <t>Yes</t>
        </is>
      </c>
      <c r="K14" s="23" t="inlineStr">
        <is>
          <t>Feeds VSYS from +5V_PROT (anode 5 V side, cathode VSYS - verified in review).</t>
        </is>
      </c>
    </row>
    <row r="15" ht="23.85" customHeight="1" s="18">
      <c r="A15" s="26" t="n">
        <v>12</v>
      </c>
      <c r="B15" s="27" t="inlineStr">
        <is>
          <t>Connectors &amp; mech</t>
        </is>
      </c>
      <c r="C15" s="27" t="inlineStr">
        <is>
          <t>J1</t>
        </is>
      </c>
      <c r="D15" s="26" t="n">
        <v>1</v>
      </c>
      <c r="E15" s="27" t="inlineStr">
        <is>
          <t>USB 2.0, 16-pin</t>
        </is>
      </c>
      <c r="F15" s="27" t="inlineStr">
        <is>
          <t>TYPE-C-31-M-12</t>
        </is>
      </c>
      <c r="G15" s="26" t="inlineStr">
        <is>
          <t>C165948</t>
        </is>
      </c>
      <c r="H15" s="26" t="inlineStr">
        <is>
          <t>USB-C recept.</t>
        </is>
      </c>
      <c r="I15" s="26" t="inlineStr">
        <is>
          <t>Extended</t>
        </is>
      </c>
      <c r="J15" s="26" t="inlineStr">
        <is>
          <t>Yes</t>
        </is>
      </c>
      <c r="K15" s="27" t="inlineStr">
        <is>
          <t>Power + native-USB programming. GND pins A1/B1/A12/B12 wired to GND (fixed &amp; netlist-verified 2026-07-20); SBU1/SBU2 correctly no-connect.</t>
        </is>
      </c>
    </row>
    <row r="16" ht="23.85" customHeight="1" s="18">
      <c r="A16" s="22" t="n">
        <v>13</v>
      </c>
      <c r="B16" s="23" t="inlineStr">
        <is>
          <t>Connectors &amp; mech</t>
        </is>
      </c>
      <c r="C16" s="23" t="inlineStr">
        <is>
          <t>J2</t>
        </is>
      </c>
      <c r="D16" s="22" t="n">
        <v>1</v>
      </c>
      <c r="E16" s="23" t="inlineStr">
        <is>
          <t>JST PH 2.0, 3-pin</t>
        </is>
      </c>
      <c r="F16" s="23" t="inlineStr">
        <is>
          <t>S3B-PH-K-S(LF)(SN)</t>
        </is>
      </c>
      <c r="G16" s="22" t="inlineStr">
        <is>
          <t>C157929</t>
        </is>
      </c>
      <c r="H16" s="22" t="inlineStr">
        <is>
          <t>TH side-entry</t>
        </is>
      </c>
      <c r="I16" s="22" t="inlineStr">
        <is>
          <t>Verify</t>
        </is>
      </c>
      <c r="J16" s="22" t="inlineStr">
        <is>
          <t>Yes</t>
        </is>
      </c>
      <c r="K16" s="23" t="inlineStr">
        <is>
          <t>Soil probe. Pin 1 = ADC_SOIL, pin 2 = SOIL_PWR (middle), pin 3 = GND - matches DFRobot Gravity order. Buzz out cable first.</t>
        </is>
      </c>
    </row>
    <row r="17" ht="23.85" customHeight="1" s="18">
      <c r="A17" s="24" t="n">
        <v>14</v>
      </c>
      <c r="B17" s="25" t="inlineStr">
        <is>
          <t>Connectors &amp; mech</t>
        </is>
      </c>
      <c r="C17" s="25" t="inlineStr">
        <is>
          <t>J3</t>
        </is>
      </c>
      <c r="D17" s="24" t="n">
        <v>1</v>
      </c>
      <c r="E17" s="25" t="inlineStr">
        <is>
          <t>JST PH 2.0, 2-pin</t>
        </is>
      </c>
      <c r="F17" s="25" t="inlineStr">
        <is>
          <t>S2B-PH-K-S(LF)(SN)</t>
        </is>
      </c>
      <c r="G17" s="24" t="inlineStr">
        <is>
          <t>C173752</t>
        </is>
      </c>
      <c r="H17" s="24" t="inlineStr">
        <is>
          <t>TH side-entry</t>
        </is>
      </c>
      <c r="I17" s="24" t="inlineStr">
        <is>
          <t>Verify</t>
        </is>
      </c>
      <c r="J17" s="24" t="inlineStr">
        <is>
          <t>Yes</t>
        </is>
      </c>
      <c r="K17" s="25" t="inlineStr">
        <is>
          <t>Battery. Pin 1 = VBAT_RAW (+), pin 2 = GND. Meter the pack plug polarity before FIRST connection - mandatory.</t>
        </is>
      </c>
    </row>
    <row r="18" ht="23.85" customHeight="1" s="18">
      <c r="A18" s="22" t="n">
        <v>15</v>
      </c>
      <c r="B18" s="23" t="inlineStr">
        <is>
          <t>Connectors &amp; mech</t>
        </is>
      </c>
      <c r="C18" s="23" t="inlineStr">
        <is>
          <t>F1</t>
        </is>
      </c>
      <c r="D18" s="22" t="n">
        <v>1</v>
      </c>
      <c r="E18" s="23" t="inlineStr">
        <is>
          <t>0.75 A hold / 1.5 A trip / 16 V</t>
        </is>
      </c>
      <c r="F18" s="23" t="inlineStr">
        <is>
          <t>1206L075/16WR</t>
        </is>
      </c>
      <c r="G18" s="22" t="inlineStr">
        <is>
          <t>C371166</t>
        </is>
      </c>
      <c r="H18" s="22" t="inlineStr">
        <is>
          <t>1206</t>
        </is>
      </c>
      <c r="I18" s="22" t="inlineStr">
        <is>
          <t>Verify</t>
        </is>
      </c>
      <c r="J18" s="22" t="inlineStr">
        <is>
          <t>Yes</t>
        </is>
      </c>
      <c r="K18" s="23" t="inlineStr">
        <is>
          <t>Resettable PPTC on USB 5 V (0.65 A hold at 40 C; worst load ~0.47 A). Schematic value field generic 'Fuse' - update.</t>
        </is>
      </c>
    </row>
    <row r="19" ht="23.85" customHeight="1" s="18">
      <c r="A19" s="24" t="n">
        <v>16</v>
      </c>
      <c r="B19" s="25" t="inlineStr">
        <is>
          <t>Connectors &amp; mech</t>
        </is>
      </c>
      <c r="C19" s="25" t="inlineStr">
        <is>
          <t>SW1, SW2</t>
        </is>
      </c>
      <c r="D19" s="24" t="n">
        <v>2</v>
      </c>
      <c r="E19" s="25" t="inlineStr">
        <is>
          <t>SMD tactile</t>
        </is>
      </c>
      <c r="F19" s="25" t="inlineStr">
        <is>
          <t>Tactile switch (Basic pick)</t>
        </is>
      </c>
      <c r="G19" s="24" t="inlineStr">
        <is>
          <t>at upload</t>
        </is>
      </c>
      <c r="H19" s="24" t="inlineStr">
        <is>
          <t>SMD tactile</t>
        </is>
      </c>
      <c r="I19" s="24" t="inlineStr">
        <is>
          <t>Basic</t>
        </is>
      </c>
      <c r="J19" s="24" t="inlineStr">
        <is>
          <t>Yes</t>
        </is>
      </c>
      <c r="K19" s="25" t="inlineStr">
        <is>
          <t>Per SCHEMATIC refs: SW1 = BOOT (IO0), SW2 = RESET (EN). Design doc has these swapped - reconcile before silkscreen.</t>
        </is>
      </c>
    </row>
    <row r="20" ht="15" customHeight="1" s="18">
      <c r="A20" s="22" t="n">
        <v>17</v>
      </c>
      <c r="B20" s="23" t="inlineStr">
        <is>
          <t>Resistors (0603)</t>
        </is>
      </c>
      <c r="C20" s="23" t="inlineStr">
        <is>
          <t>R1, R2</t>
        </is>
      </c>
      <c r="D20" s="22" t="n">
        <v>2</v>
      </c>
      <c r="E20" s="23" t="inlineStr">
        <is>
          <t>22 R</t>
        </is>
      </c>
      <c r="F20" s="23" t="inlineStr">
        <is>
          <t>Chip resistor</t>
        </is>
      </c>
      <c r="G20" s="22" t="inlineStr">
        <is>
          <t>at upload</t>
        </is>
      </c>
      <c r="H20" s="22" t="inlineStr">
        <is>
          <t>0603</t>
        </is>
      </c>
      <c r="I20" s="22" t="inlineStr">
        <is>
          <t>Basic</t>
        </is>
      </c>
      <c r="J20" s="22" t="inlineStr">
        <is>
          <t>Yes</t>
        </is>
      </c>
      <c r="K20" s="23" t="inlineStr">
        <is>
          <t>USB data series resistors (R1 = D-, R2 = D+).</t>
        </is>
      </c>
    </row>
    <row r="21" ht="15" customHeight="1" s="18">
      <c r="A21" s="24" t="n">
        <v>18</v>
      </c>
      <c r="B21" s="25" t="inlineStr">
        <is>
          <t>Resistors (0603)</t>
        </is>
      </c>
      <c r="C21" s="25" t="inlineStr">
        <is>
          <t>R3, R4</t>
        </is>
      </c>
      <c r="D21" s="24" t="n">
        <v>2</v>
      </c>
      <c r="E21" s="25" t="inlineStr">
        <is>
          <t>5.1 k, 1%</t>
        </is>
      </c>
      <c r="F21" s="25" t="inlineStr">
        <is>
          <t>Chip resistor</t>
        </is>
      </c>
      <c r="G21" s="24" t="inlineStr">
        <is>
          <t>at upload</t>
        </is>
      </c>
      <c r="H21" s="24" t="inlineStr">
        <is>
          <t>0603</t>
        </is>
      </c>
      <c r="I21" s="24" t="inlineStr">
        <is>
          <t>Basic</t>
        </is>
      </c>
      <c r="J21" s="24" t="inlineStr">
        <is>
          <t>Yes</t>
        </is>
      </c>
      <c r="K21" s="25" t="inlineStr">
        <is>
          <t>USB-C CC pull-downs, one per CC pin (R4 = CC1, R3 = CC2). Never shared.</t>
        </is>
      </c>
    </row>
    <row r="22" ht="23.85" customHeight="1" s="18">
      <c r="A22" s="22" t="n">
        <v>19</v>
      </c>
      <c r="B22" s="23" t="inlineStr">
        <is>
          <t>Resistors (0603)</t>
        </is>
      </c>
      <c r="C22" s="23" t="inlineStr">
        <is>
          <t>R5, R6, R7, R13, R16</t>
        </is>
      </c>
      <c r="D22" s="22" t="n">
        <v>5</v>
      </c>
      <c r="E22" s="23" t="inlineStr">
        <is>
          <t>10 k</t>
        </is>
      </c>
      <c r="F22" s="23" t="inlineStr">
        <is>
          <t>Chip resistor</t>
        </is>
      </c>
      <c r="G22" s="22" t="inlineStr">
        <is>
          <t>at upload</t>
        </is>
      </c>
      <c r="H22" s="22" t="inlineStr">
        <is>
          <t>0603</t>
        </is>
      </c>
      <c r="I22" s="22" t="inlineStr">
        <is>
          <t>Basic</t>
        </is>
      </c>
      <c r="J22" s="22" t="inlineStr">
        <is>
          <t>Yes</t>
        </is>
      </c>
      <c r="K22" s="23" t="inlineStr">
        <is>
          <t>R5 = power-LED limit (10 k low-standby choice), R6 = IO0 boot pull-up, R7 = EN reset pull-up, R13 = charger PROG (~100 mA), R16 = Q3 gate pull-down (changed 100 k -&gt; 10 k on 2026-07-20 for fast USB-unplug hand-over; verified in schematic).</t>
        </is>
      </c>
    </row>
    <row r="23" ht="15" customHeight="1" s="18">
      <c r="A23" s="24" t="n">
        <v>20</v>
      </c>
      <c r="B23" s="25" t="inlineStr">
        <is>
          <t>Resistors (0603)</t>
        </is>
      </c>
      <c r="C23" s="25" t="inlineStr">
        <is>
          <t>R8, R9</t>
        </is>
      </c>
      <c r="D23" s="24" t="n">
        <v>2</v>
      </c>
      <c r="E23" s="25" t="inlineStr">
        <is>
          <t>4.7 k</t>
        </is>
      </c>
      <c r="F23" s="25" t="inlineStr">
        <is>
          <t>Chip resistor</t>
        </is>
      </c>
      <c r="G23" s="24" t="inlineStr">
        <is>
          <t>at upload</t>
        </is>
      </c>
      <c r="H23" s="24" t="inlineStr">
        <is>
          <t>0603</t>
        </is>
      </c>
      <c r="I23" s="24" t="inlineStr">
        <is>
          <t>Basic</t>
        </is>
      </c>
      <c r="J23" s="24" t="inlineStr">
        <is>
          <t>Yes</t>
        </is>
      </c>
      <c r="K23" s="25" t="inlineStr">
        <is>
          <t>I2C pull-ups, one pair for the whole bus (R8 = SCL, R9 = SDA).</t>
        </is>
      </c>
    </row>
    <row r="24" ht="35.05" customHeight="1" s="18">
      <c r="A24" s="22" t="n">
        <v>21</v>
      </c>
      <c r="B24" s="23" t="inlineStr">
        <is>
          <t>Resistors (0603)</t>
        </is>
      </c>
      <c r="C24" s="23" t="inlineStr">
        <is>
          <t>R10, R11</t>
        </is>
      </c>
      <c r="D24" s="22" t="n">
        <v>2</v>
      </c>
      <c r="E24" s="23" t="inlineStr">
        <is>
          <t>100 k</t>
        </is>
      </c>
      <c r="F24" s="23" t="inlineStr">
        <is>
          <t>Chip resistor</t>
        </is>
      </c>
      <c r="G24" s="22" t="inlineStr">
        <is>
          <t>at upload</t>
        </is>
      </c>
      <c r="H24" s="22" t="inlineStr">
        <is>
          <t>0603</t>
        </is>
      </c>
      <c r="I24" s="22" t="inlineStr">
        <is>
          <t>Basic</t>
        </is>
      </c>
      <c r="J24" s="22" t="inlineStr">
        <is>
          <t>Yes</t>
        </is>
      </c>
      <c r="K24" s="23" t="inlineStr">
        <is>
          <t>R10 = Q1 gate pull-up (probe off by default), R11 = ADC_SOIL pull-down (pin never floats). (R16 moved to the 10 k line on 2026-07-20.)</t>
        </is>
      </c>
    </row>
    <row r="25" ht="23.85" customHeight="1" s="18">
      <c r="A25" s="24" t="n">
        <v>22</v>
      </c>
      <c r="B25" s="25" t="inlineStr">
        <is>
          <t>Resistors (0603)</t>
        </is>
      </c>
      <c r="C25" s="25" t="inlineStr">
        <is>
          <t>R12</t>
        </is>
      </c>
      <c r="D25" s="24" t="n">
        <v>1</v>
      </c>
      <c r="E25" s="25" t="inlineStr">
        <is>
          <t>470 R</t>
        </is>
      </c>
      <c r="F25" s="25" t="inlineStr">
        <is>
          <t>Chip resistor</t>
        </is>
      </c>
      <c r="G25" s="24" t="inlineStr">
        <is>
          <t>at upload</t>
        </is>
      </c>
      <c r="H25" s="24" t="inlineStr">
        <is>
          <t>0603</t>
        </is>
      </c>
      <c r="I25" s="24" t="inlineStr">
        <is>
          <t>Basic</t>
        </is>
      </c>
      <c r="J25" s="24" t="inlineStr">
        <is>
          <t>Yes</t>
        </is>
      </c>
      <c r="K25" s="25" t="inlineStr">
        <is>
          <t>Charge-LED limit (~6 mA). Deviation from doc's 1 k - intentional, document in doc section 15.</t>
        </is>
      </c>
    </row>
    <row r="26" ht="23.85" customHeight="1" s="18">
      <c r="A26" s="22" t="n">
        <v>23</v>
      </c>
      <c r="B26" s="23" t="inlineStr">
        <is>
          <t>Resistors (0603)</t>
        </is>
      </c>
      <c r="C26" s="23" t="inlineStr">
        <is>
          <t>R14, R15</t>
        </is>
      </c>
      <c r="D26" s="22" t="n">
        <v>2</v>
      </c>
      <c r="E26" s="23" t="inlineStr">
        <is>
          <t>100 k, 1%</t>
        </is>
      </c>
      <c r="F26" s="23" t="inlineStr">
        <is>
          <t>Chip resistor</t>
        </is>
      </c>
      <c r="G26" s="22" t="inlineStr">
        <is>
          <t>at upload</t>
        </is>
      </c>
      <c r="H26" s="22" t="inlineStr">
        <is>
          <t>0603</t>
        </is>
      </c>
      <c r="I26" s="22" t="inlineStr">
        <is>
          <t>Basic</t>
        </is>
      </c>
      <c r="J26" s="22" t="inlineStr">
        <is>
          <t>Yes</t>
        </is>
      </c>
      <c r="K26" s="23" t="inlineStr">
        <is>
          <t>Battery-sense 2:1 divider, VBAT -&gt; BAT_SENSE (GPIO2). 2.10 V max at ADC, ~21 uA constant drain.</t>
        </is>
      </c>
    </row>
    <row r="27" ht="23.85" customHeight="1" s="18">
      <c r="A27" s="24" t="n">
        <v>24</v>
      </c>
      <c r="B27" s="25" t="inlineStr">
        <is>
          <t>Capacitors</t>
        </is>
      </c>
      <c r="C27" s="25" t="inlineStr">
        <is>
          <t>C1, C10, C11, C12, C13, C14, C17</t>
        </is>
      </c>
      <c r="D27" s="24" t="n">
        <v>7</v>
      </c>
      <c r="E27" s="25" t="inlineStr">
        <is>
          <t>100 nF</t>
        </is>
      </c>
      <c r="F27" s="25" t="inlineStr">
        <is>
          <t>MLCC</t>
        </is>
      </c>
      <c r="G27" s="24" t="inlineStr">
        <is>
          <t>at upload</t>
        </is>
      </c>
      <c r="H27" s="24" t="inlineStr">
        <is>
          <t>0603</t>
        </is>
      </c>
      <c r="I27" s="24" t="inlineStr">
        <is>
          <t>Basic</t>
        </is>
      </c>
      <c r="J27" s="24" t="inlineStr">
        <is>
          <t>Yes</t>
        </is>
      </c>
      <c r="K27" s="25" t="inlineStr">
        <is>
          <t>C1 = U1 VBUS bypass, C10 = module 3V3 bypass, C11/C12 = BME280 VDDIO/VDD, C13 = VEML7700 VDD, C14 = ADC_SOIL filter, C17 = BAT_SENSE filter.</t>
        </is>
      </c>
    </row>
    <row r="28" ht="23.85" customHeight="1" s="18">
      <c r="A28" s="22" t="n">
        <v>25</v>
      </c>
      <c r="B28" s="23" t="inlineStr">
        <is>
          <t>Capacitors</t>
        </is>
      </c>
      <c r="C28" s="23" t="inlineStr">
        <is>
          <t>C2, C5</t>
        </is>
      </c>
      <c r="D28" s="22" t="n">
        <v>2</v>
      </c>
      <c r="E28" s="23" t="inlineStr">
        <is>
          <t>10 uF, &gt;=10 V</t>
        </is>
      </c>
      <c r="F28" s="23" t="inlineStr">
        <is>
          <t>MLCC (0805)</t>
        </is>
      </c>
      <c r="G28" s="22" t="inlineStr">
        <is>
          <t>at upload</t>
        </is>
      </c>
      <c r="H28" s="22" t="inlineStr">
        <is>
          <t>0805</t>
        </is>
      </c>
      <c r="I28" s="22" t="inlineStr">
        <is>
          <t>Basic</t>
        </is>
      </c>
      <c r="J28" s="22" t="inlineStr">
        <is>
          <t>Yes</t>
        </is>
      </c>
      <c r="K28" s="23" t="inlineStr">
        <is>
          <t>C2 = +5V_PROT entrance bulk (after fuse), C5 = VSYS bulk (hand-over support - Rev A addition).</t>
        </is>
      </c>
    </row>
    <row r="29" ht="23.85" customHeight="1" s="18">
      <c r="A29" s="24" t="n">
        <v>26</v>
      </c>
      <c r="B29" s="25" t="inlineStr">
        <is>
          <t>Capacitors</t>
        </is>
      </c>
      <c r="C29" s="25" t="inlineStr">
        <is>
          <t>C6, C7, C8, C18</t>
        </is>
      </c>
      <c r="D29" s="24" t="n">
        <v>4</v>
      </c>
      <c r="E29" s="25" t="inlineStr">
        <is>
          <t>1 uF</t>
        </is>
      </c>
      <c r="F29" s="25" t="inlineStr">
        <is>
          <t>MLCC</t>
        </is>
      </c>
      <c r="G29" s="24" t="inlineStr">
        <is>
          <t>at upload</t>
        </is>
      </c>
      <c r="H29" s="24" t="inlineStr">
        <is>
          <t>0603</t>
        </is>
      </c>
      <c r="I29" s="24" t="inlineStr">
        <is>
          <t>Basic</t>
        </is>
      </c>
      <c r="J29" s="24" t="inlineStr">
        <is>
          <t>Yes</t>
        </is>
      </c>
      <c r="K29" s="25" t="inlineStr">
        <is>
          <t>C6 = LDO input, C7 = LDO output (datasheet stability pair), C8 = EN reset-delay RC, C18 = VSYS local at power path.</t>
        </is>
      </c>
    </row>
    <row r="30" ht="15" customHeight="1" s="18">
      <c r="A30" s="22" t="n">
        <v>27</v>
      </c>
      <c r="B30" s="23" t="inlineStr">
        <is>
          <t>Capacitors</t>
        </is>
      </c>
      <c r="C30" s="23" t="inlineStr">
        <is>
          <t>C9</t>
        </is>
      </c>
      <c r="D30" s="22" t="n">
        <v>1</v>
      </c>
      <c r="E30" s="23" t="inlineStr">
        <is>
          <t>22 uF, &gt;=6.3 V</t>
        </is>
      </c>
      <c r="F30" s="23" t="inlineStr">
        <is>
          <t>MLCC (0805)</t>
        </is>
      </c>
      <c r="G30" s="22" t="inlineStr">
        <is>
          <t>at upload</t>
        </is>
      </c>
      <c r="H30" s="22" t="inlineStr">
        <is>
          <t>0805</t>
        </is>
      </c>
      <c r="I30" s="22" t="inlineStr">
        <is>
          <t>Basic</t>
        </is>
      </c>
      <c r="J30" s="22" t="inlineStr">
        <is>
          <t>Yes</t>
        </is>
      </c>
      <c r="K30" s="23" t="inlineStr">
        <is>
          <t>Bulk at the module's 3V3 pin (with C10).</t>
        </is>
      </c>
    </row>
    <row r="31" ht="15" customHeight="1" s="18">
      <c r="A31" s="24" t="n">
        <v>28</v>
      </c>
      <c r="B31" s="25" t="inlineStr">
        <is>
          <t>Capacitors</t>
        </is>
      </c>
      <c r="C31" s="25" t="inlineStr">
        <is>
          <t>C15, C16</t>
        </is>
      </c>
      <c r="D31" s="24" t="n">
        <v>2</v>
      </c>
      <c r="E31" s="25" t="inlineStr">
        <is>
          <t>4.7 uF</t>
        </is>
      </c>
      <c r="F31" s="25" t="inlineStr">
        <is>
          <t>MLCC</t>
        </is>
      </c>
      <c r="G31" s="24" t="inlineStr">
        <is>
          <t>at upload</t>
        </is>
      </c>
      <c r="H31" s="24" t="inlineStr">
        <is>
          <t>0603</t>
        </is>
      </c>
      <c r="I31" s="24" t="inlineStr">
        <is>
          <t>Basic</t>
        </is>
      </c>
      <c r="J31" s="24" t="inlineStr">
        <is>
          <t>Yes</t>
        </is>
      </c>
      <c r="K31" s="25" t="inlineStr">
        <is>
          <t>Charger input (C15, at VDD) and output (C16, at VBAT) per MCP73831 datasheet.</t>
        </is>
      </c>
    </row>
    <row r="32" ht="23.85" customHeight="1" s="18">
      <c r="A32" s="30" t="n"/>
      <c r="B32" s="31" t="inlineStr">
        <is>
          <t>Do Not Populate</t>
        </is>
      </c>
      <c r="C32" s="31" t="inlineStr">
        <is>
          <t>C3, C4</t>
        </is>
      </c>
      <c r="D32" s="30" t="n">
        <v>2</v>
      </c>
      <c r="E32" s="31" t="inlineStr">
        <is>
          <t>(footprint only)</t>
        </is>
      </c>
      <c r="F32" s="31" t="inlineStr">
        <is>
          <t>- none placed -</t>
        </is>
      </c>
      <c r="G32" s="30" t="inlineStr">
        <is>
          <t>-</t>
        </is>
      </c>
      <c r="H32" s="30" t="inlineStr">
        <is>
          <t>0603</t>
        </is>
      </c>
      <c r="I32" s="30" t="inlineStr">
        <is>
          <t>-</t>
        </is>
      </c>
      <c r="J32" s="30" t="inlineStr">
        <is>
          <t>No (DNP)</t>
        </is>
      </c>
      <c r="K32" s="31" t="inlineStr">
        <is>
          <t>Reserved USB data-line tuning capacitors (Espressif guideline). Footprints on board, nothing soldered.</t>
        </is>
      </c>
    </row>
    <row r="33"/>
    <row r="34" ht="15" customHeight="1" s="18">
      <c r="B34" s="32" t="inlineStr">
        <is>
          <t>Summary</t>
        </is>
      </c>
    </row>
    <row r="35" ht="15" customHeight="1" s="18">
      <c r="B35" s="33" t="inlineStr">
        <is>
          <t>Distinct part lines (BOM rows)</t>
        </is>
      </c>
      <c r="D35" s="34">
        <f>COUNTA(C4:C31)+1</f>
        <v/>
      </c>
    </row>
    <row r="36" ht="15" customHeight="1" s="18">
      <c r="B36" s="33" t="inlineStr">
        <is>
          <t>Components placed by assembler</t>
        </is>
      </c>
      <c r="D36" s="34">
        <f>SUMIF(J4:J32,"Yes",D4:D32)</f>
        <v/>
      </c>
    </row>
    <row r="37" ht="15" customHeight="1" s="18">
      <c r="B37" s="33" t="inlineStr">
        <is>
          <t>Do-Not-Populate placements</t>
        </is>
      </c>
      <c r="D37" s="34">
        <f>SUMIF(J4:J32,"No (DNP)",D4:D32)</f>
        <v/>
      </c>
    </row>
    <row r="38" ht="15" customHeight="1" s="18">
      <c r="B38" s="33" t="inlineStr">
        <is>
          <t>Total footprints on the board</t>
        </is>
      </c>
      <c r="D38" s="34">
        <f>SUM(D4:D32)</f>
        <v/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7" min="1" max="1"/>
    <col width="44" customWidth="1" style="17" min="2" max="2"/>
    <col width="10" customWidth="1" style="17" min="3" max="3"/>
    <col width="22" customWidth="1" style="17" min="4" max="4"/>
    <col width="66" customWidth="1" style="17" min="5" max="5"/>
  </cols>
  <sheetData>
    <row r="1" ht="15" customHeight="1" s="18">
      <c r="A1" s="35" t="inlineStr">
        <is>
          <t>Not assembled by JLCPCB — buy and attach yourself</t>
        </is>
      </c>
    </row>
    <row r="2" ht="15" customHeight="1" s="18">
      <c r="A2" s="36" t="inlineStr">
        <is>
          <t>Item</t>
        </is>
      </c>
      <c r="B2" s="36" t="inlineStr">
        <is>
          <t>Spec</t>
        </is>
      </c>
      <c r="C2" s="36" t="inlineStr">
        <is>
          <t>Plugs into</t>
        </is>
      </c>
      <c r="D2" s="36" t="inlineStr">
        <is>
          <t>Where to buy</t>
        </is>
      </c>
      <c r="E2" s="36" t="inlineStr">
        <is>
          <t>Notes</t>
        </is>
      </c>
    </row>
    <row r="3" ht="51.75" customHeight="1" s="18">
      <c r="A3" s="23" t="inlineStr">
        <is>
          <t>DFRobot SEN0193 capacitive soil moisture probe</t>
        </is>
      </c>
      <c r="B3" s="23" t="inlineStr">
        <is>
          <t>Supply 3.3-5.5 V, output 0-3.0 V (~2.2 V max measured at 3.3 V supply), ~5 mA</t>
        </is>
      </c>
      <c r="C3" s="23" t="inlineStr">
        <is>
          <t>J2</t>
        </is>
      </c>
      <c r="D3" s="23" t="inlineStr">
        <is>
          <t>DigiKey / DFRobot / Amazon</t>
        </is>
      </c>
      <c r="E3" s="23" t="inlineStr">
        <is>
          <t>External wand, never soldered on. Buzz out the cable wire order with a meter before first use. Not waterproof past its marked line.</t>
        </is>
      </c>
    </row>
    <row r="4" ht="51.75" customHeight="1" s="18">
      <c r="A4" s="23" t="inlineStr">
        <is>
          <t>1S protected LiPo battery</t>
        </is>
      </c>
      <c r="B4" s="23" t="inlineStr">
        <is>
          <t>3.7 V nom, JST-PH plug, 500-1200 mAh. Current bench cell: PKCell LP503035 500 mAh (datasheet in references/)</t>
        </is>
      </c>
      <c r="C4" s="23" t="inlineStr">
        <is>
          <t>J3</t>
        </is>
      </c>
      <c r="D4" s="23" t="inlineStr">
        <is>
          <t>Battery retailer</t>
        </is>
      </c>
      <c r="E4" s="23" t="inlineStr">
        <is>
          <t>MUST have built-in protection (PCM) - board has none of its own. METER THE PLUG POLARITY FIRST; note: charge LED lighting does NOT prove polarity is correct. Doc's runtime estimates assumed ~1000 mAh - halve them for the 500 mAh cell.</t>
        </is>
      </c>
    </row>
    <row r="5" ht="51.75" customHeight="1" s="18">
      <c r="A5" s="23" t="inlineStr">
        <is>
          <t>PH-to-PH 3-pin cable (only if needed)</t>
        </is>
      </c>
      <c r="B5" s="23" t="inlineStr">
        <is>
          <t>JST PH 2.0, 3-wire</t>
        </is>
      </c>
      <c r="C5" s="23" t="inlineStr">
        <is>
          <t>J2</t>
        </is>
      </c>
      <c r="D5" s="23" t="inlineStr">
        <is>
          <t>~$1, generic</t>
        </is>
      </c>
      <c r="E5" s="23" t="inlineStr">
        <is>
          <t>Only if the probe's included cable ends in DuPont-style instead of a PH plug.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2026-07-20T20:18:08Z</dcterms:created>
  <dcterms:modified xmlns:dcterms="http://purl.org/dc/terms/" xmlns:xsi="http://www.w3.org/2001/XMLSchema-instance" xsi:type="dcterms:W3CDTF">2026-07-20T23:13:56Z</dcterms:modified>
  <cp:revision>0</cp:revision>
</cp:coreProperties>
</file>